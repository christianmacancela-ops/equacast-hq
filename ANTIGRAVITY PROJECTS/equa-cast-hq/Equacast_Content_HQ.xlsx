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1257ef700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6e9932529fa494a"/>
    <x:sheet xmlns:r="http://schemas.openxmlformats.org/officeDocument/2006/relationships" name="Audit" sheetId="2" r:id="R3ba9f84fb1764279"/>
    <x:sheet xmlns:r="http://schemas.openxmlformats.org/officeDocument/2006/relationships" name="Topic Inbox" sheetId="3" r:id="R0bddae19bddd4e01"/>
    <x:sheet xmlns:r="http://schemas.openxmlformats.org/officeDocument/2006/relationships" name="Recording Plan" sheetId="4" r:id="R97611df7e5ed41e9"/>
    <x:sheet xmlns:r="http://schemas.openxmlformats.org/officeDocument/2006/relationships" name="Clip Tracker" sheetId="5" r:id="R21eed27cd0934ae4"/>
    <x:sheet xmlns:r="http://schemas.openxmlformats.org/officeDocument/2006/relationships" name="Weekly Review" sheetId="6" r:id="Rfbfa7c28dd304fff"/>
    <x:sheet xmlns:r="http://schemas.openxmlformats.org/officeDocument/2006/relationships" name="Format Library" sheetId="7" r:id="R541b25a4989d43e0"/>
    <x:sheet xmlns:r="http://schemas.openxmlformats.org/officeDocument/2006/relationships" name="Set &amp; Brand" sheetId="8" r:id="R58fb7dbb05ff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%"/>
    <x:numFmt numFmtId="202" formatCode="yyyy-mm-dd"/>
    <x:numFmt numFmtId="203" formatCode="ddd, mmm d, yyyy"/>
    <x:numFmt numFmtId="204" formatCode="ddd, mmm d"/>
    <x:numFmt numFmtId="205" formatCode="mmm d, yyyy"/>
    <x:numFmt numFmtId="206" formatCode="@"/>
  </x:numFmts>
  <x:fonts count="11">
    <x:font>
      <x:sz val="11"/>
      <x:name val="Carlito"/>
    </x:font>
    <x:font>
      <x:b/>
      <x:sz val="20"/>
      <x:color rgb="FFFFFFFF"/>
      <x:name val="Carlito"/>
    </x:font>
    <x:font>
      <x:i/>
      <x:sz val="10"/>
      <x:color rgb="FFF8C6AD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1"/>
      <x:color rgb="FF171717"/>
      <x:name val="Carlito"/>
    </x:font>
    <x:font>
      <x:b/>
      <x:sz val="11"/>
      <x:color rgb="FFB73F16"/>
      <x:name val="Carlito"/>
    </x:font>
    <x:font>
      <x:b/>
      <x:sz val="9"/>
      <x:color rgb="FFFFFFFF"/>
      <x:name val="Carlito"/>
    </x:font>
    <x:font>
      <x:b/>
      <x:sz val="18"/>
      <x:color rgb="FFB73F16"/>
      <x:name val="Carlito"/>
    </x:font>
    <x:font>
      <x:b/>
      <x:sz val="13"/>
      <x:color rgb="FFFFFFFF"/>
      <x:name val="Carlito"/>
    </x:font>
    <x:font>
      <x:i/>
      <x:sz val="9"/>
      <x:color rgb="FF5A5A5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E95A24"/>
      </x:patternFill>
    </x:fill>
    <x:fill>
      <x:patternFill patternType="solid">
        <x:fgColor rgb="FF292929"/>
      </x:patternFill>
    </x:fill>
    <x:fill>
      <x:patternFill patternType="solid">
        <x:fgColor rgb="FFFFF1B8"/>
      </x:patternFill>
    </x:fill>
    <x:fill>
      <x:patternFill patternType="solid">
        <x:fgColor rgb="FFFCE5D8"/>
      </x:patternFill>
    </x:fill>
    <x:fill>
      <x:patternFill patternType="solid">
        <x:fgColor rgb="FFDCEAF7"/>
      </x:patternFill>
    </x:fill>
    <x:fill>
      <x:patternFill patternType="solid">
        <x:fgColor rgb="FFDDF2E5"/>
      </x:patternFill>
    </x:fill>
    <x:fill>
      <x:patternFill patternType="solid">
        <x:fgColor rgb="FFFFF7F0"/>
      </x:patternFill>
    </x:fill>
  </x:fills>
  <x:borders count="24">
    <x:border/>
    <x:border>
      <x:left style="thin">
        <x:color rgb="FF707070"/>
      </x:left>
      <x:top style="thin">
        <x:color rgb="FF707070"/>
      </x:top>
      <x:bottom style="thin">
        <x:color rgb="FF707070"/>
      </x:bottom>
    </x:border>
    <x:border>
      <x:top style="thin">
        <x:color rgb="FF707070"/>
      </x:top>
      <x:bottom style="thin">
        <x:color rgb="FF707070"/>
      </x:bottom>
    </x:border>
    <x:border>
      <x:right style="thin">
        <x:color rgb="FF707070"/>
      </x:right>
      <x:top style="thin">
        <x:color rgb="FF707070"/>
      </x:top>
      <x:bottom style="thin">
        <x:color rgb="FF707070"/>
      </x:bottom>
    </x:border>
    <x:border>
      <x:bottom style="thin">
        <x:color rgb="FFDDDDDD"/>
      </x:bottom>
    </x:border>
    <x:border>
      <x:top style="thin">
        <x:color rgb="FFDDDDDD"/>
      </x:top>
      <x:bottom style="thin">
        <x:color rgb="FFDDDDDD"/>
      </x:bottom>
    </x:border>
    <x:border>
      <x:top style="thin">
        <x:color rgb="FFDDDDDD"/>
      </x:top>
      <x:bottom style="thin">
        <x:color rgb="FFAAAAAA"/>
      </x:bottom>
    </x:border>
    <x:border>
      <x:bottom style="thin">
        <x:color rgb="FFE1E1E1"/>
      </x:bottom>
    </x:border>
    <x:border>
      <x:top style="thin">
        <x:color rgb="FFE1E1E1"/>
      </x:top>
      <x:bottom style="thin">
        <x:color rgb="FFE1E1E1"/>
      </x:bottom>
    </x:border>
    <x:border>
      <x:top style="thin">
        <x:color rgb="FFE1E1E1"/>
      </x:top>
    </x:border>
    <x:border>
      <x:top style="thin">
        <x:color rgb="FFDDDDDD"/>
      </x:top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D6B39F"/>
      </x:left>
      <x:top style="thin">
        <x:color rgb="FFD6B39F"/>
      </x:top>
    </x:border>
    <x:border>
      <x:right style="thin">
        <x:color rgb="FFD6B39F"/>
      </x:right>
      <x:top style="thin">
        <x:color rgb="FFD6B39F"/>
      </x:top>
    </x:border>
    <x:border>
      <x:left style="thin">
        <x:color rgb="FFD6B39F"/>
      </x:left>
      <x:bottom style="thin">
        <x:color rgb="FFD6B39F"/>
      </x:bottom>
    </x:border>
    <x:border>
      <x:right style="thin">
        <x:color rgb="FFD6B39F"/>
      </x:right>
      <x:bottom style="thin">
        <x:color rgb="FFD6B39F"/>
      </x:bottom>
    </x:border>
    <x:border>
      <x:left style="medium">
        <x:color rgb="FFE95A24"/>
      </x:left>
      <x:top style="medium">
        <x:color rgb="FFE95A24"/>
      </x:top>
    </x:border>
    <x:border>
      <x:top style="medium">
        <x:color rgb="FFE95A24"/>
      </x:top>
    </x:border>
    <x:border>
      <x:right style="medium">
        <x:color rgb="FFE95A24"/>
      </x:right>
      <x:top style="medium">
        <x:color rgb="FFE95A24"/>
      </x:top>
    </x:border>
    <x:border>
      <x:left style="medium">
        <x:color rgb="FFE95A24"/>
      </x:left>
    </x:border>
    <x:border>
      <x:right style="medium">
        <x:color rgb="FFE95A24"/>
      </x:right>
    </x:border>
    <x:border>
      <x:left style="medium">
        <x:color rgb="FFE95A24"/>
      </x:left>
      <x:bottom style="medium">
        <x:color rgb="FFE95A24"/>
      </x:bottom>
    </x:border>
    <x:border>
      <x:bottom style="medium">
        <x:color rgb="FFE95A24"/>
      </x:bottom>
    </x:border>
    <x:border>
      <x:right style="medium">
        <x:color rgb="FFE95A24"/>
      </x:right>
      <x:bottom style="medium">
        <x:color rgb="FFE95A24"/>
      </x:bottom>
    </x:border>
  </x:borders>
  <x:cellStyleXfs count="1">
    <x:xf numFmtId="0" fontId="0" fillId="0" borderId="0"/>
  </x:cellStyleXfs>
  <x:cellXfs count="2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2" fontId="5" fillId="5" borderId="0" xfId="0" applyNumberFormat="1" applyFont="1" applyFill="1" applyBorder="1"/>
    <x:xf numFmtId="202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5" fillId="5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1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3" fontId="5" fillId="5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200" fontId="5" fillId="5" borderId="0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5" fillId="5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205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0" fillId="7" borderId="11" xfId="0" applyNumberFormat="1" applyFont="1" applyFill="1" applyBorder="1" applyAlignment="1">
      <x:alignment horizontal="center" vertical="center" wrapText="1"/>
    </x:xf>
    <x:xf numFmtId="0" fontId="0" fillId="6" borderId="11" xfId="0" applyNumberFormat="1" applyFont="1" applyFill="1" applyBorder="1" applyAlignment="1">
      <x:alignment horizontal="center" vertical="center" wrapText="1"/>
    </x:xf>
    <x:xf numFmtId="0" fontId="0" fillId="8" borderId="11" xfId="0" applyNumberFormat="1" applyFont="1" applyFill="1" applyBorder="1" applyAlignment="1">
      <x:alignment horizontal="center" vertical="center" wrapText="1"/>
    </x:xf>
    <x:xf numFmtId="0" fontId="0" fillId="5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2" xfId="0" applyNumberFormat="1" applyFont="1" applyFill="1" applyBorder="1"/>
    <x:xf numFmtId="0" fontId="8" fillId="9" borderId="13" xfId="0" applyNumberFormat="1" applyFont="1" applyFill="1" applyBorder="1"/>
    <x:xf numFmtId="0" fontId="8" fillId="9" borderId="14" xfId="0" applyNumberFormat="1" applyFont="1" applyFill="1" applyBorder="1"/>
    <x:xf numFmtId="0" fontId="8" fillId="9" borderId="15" xfId="0" applyNumberFormat="1" applyFont="1" applyFill="1" applyBorder="1"/>
    <x:xf numFmtId="200" fontId="8" fillId="9" borderId="12" xfId="0" applyNumberFormat="1" applyFont="1" applyFill="1" applyBorder="1"/>
    <x:xf numFmtId="200" fontId="8" fillId="9" borderId="13" xfId="0" applyNumberFormat="1" applyFont="1" applyFill="1" applyBorder="1"/>
    <x:xf numFmtId="200" fontId="8" fillId="9" borderId="14" xfId="0" applyNumberFormat="1" applyFont="1" applyFill="1" applyBorder="1"/>
    <x:xf numFmtId="200" fontId="8" fillId="9" borderId="15" xfId="0" applyNumberFormat="1" applyFont="1" applyFill="1" applyBorder="1"/>
    <x:xf numFmtId="200" fontId="8" fillId="9" borderId="12" xfId="0" applyNumberFormat="1" applyFont="1" applyFill="1" applyBorder="1" applyAlignment="1">
      <x:alignment horizontal="center"/>
    </x:xf>
    <x:xf numFmtId="200" fontId="8" fillId="9" borderId="13" xfId="0" applyNumberFormat="1" applyFont="1" applyFill="1" applyBorder="1" applyAlignment="1">
      <x:alignment horizontal="center"/>
    </x:xf>
    <x:xf numFmtId="200" fontId="8" fillId="9" borderId="14" xfId="0" applyNumberFormat="1" applyFont="1" applyFill="1" applyBorder="1" applyAlignment="1">
      <x:alignment horizontal="center"/>
    </x:xf>
    <x:xf numFmtId="200" fontId="8" fillId="9" borderId="15" xfId="0" applyNumberFormat="1" applyFont="1" applyFill="1" applyBorder="1" applyAlignment="1">
      <x:alignment horizontal="center"/>
    </x:xf>
    <x:xf numFmtId="200" fontId="8" fillId="9" borderId="12" xfId="0" applyNumberFormat="1" applyFont="1" applyFill="1" applyBorder="1" applyAlignment="1">
      <x:alignment horizontal="center" vertical="center"/>
    </x:xf>
    <x:xf numFmtId="200" fontId="8" fillId="9" borderId="13" xfId="0" applyNumberFormat="1" applyFont="1" applyFill="1" applyBorder="1" applyAlignment="1">
      <x:alignment horizontal="center" vertical="center"/>
    </x:xf>
    <x:xf numFmtId="200" fontId="8" fillId="9" borderId="14" xfId="0" applyNumberFormat="1" applyFont="1" applyFill="1" applyBorder="1" applyAlignment="1">
      <x:alignment horizontal="center" vertical="center"/>
    </x:xf>
    <x:xf numFmtId="200" fontId="8" fillId="9" borderId="15" xfId="0" applyNumberFormat="1" applyFont="1" applyFill="1" applyBorder="1" applyAlignment="1">
      <x:alignment horizontal="center" vertical="center"/>
    </x:xf>
    <x:xf numFmtId="201" fontId="8" fillId="9" borderId="12" xfId="0" applyNumberFormat="1" applyFont="1" applyFill="1" applyBorder="1"/>
    <x:xf numFmtId="201" fontId="8" fillId="9" borderId="13" xfId="0" applyNumberFormat="1" applyFont="1" applyFill="1" applyBorder="1"/>
    <x:xf numFmtId="201" fontId="8" fillId="9" borderId="14" xfId="0" applyNumberFormat="1" applyFont="1" applyFill="1" applyBorder="1"/>
    <x:xf numFmtId="201" fontId="8" fillId="9" borderId="15" xfId="0" applyNumberFormat="1" applyFont="1" applyFill="1" applyBorder="1"/>
    <x:xf numFmtId="201" fontId="8" fillId="9" borderId="12" xfId="0" applyNumberFormat="1" applyFont="1" applyFill="1" applyBorder="1" applyAlignment="1">
      <x:alignment horizontal="center"/>
    </x:xf>
    <x:xf numFmtId="201" fontId="8" fillId="9" borderId="13" xfId="0" applyNumberFormat="1" applyFont="1" applyFill="1" applyBorder="1" applyAlignment="1">
      <x:alignment horizontal="center"/>
    </x:xf>
    <x:xf numFmtId="201" fontId="8" fillId="9" borderId="14" xfId="0" applyNumberFormat="1" applyFont="1" applyFill="1" applyBorder="1" applyAlignment="1">
      <x:alignment horizontal="center"/>
    </x:xf>
    <x:xf numFmtId="201" fontId="8" fillId="9" borderId="15" xfId="0" applyNumberFormat="1" applyFont="1" applyFill="1" applyBorder="1" applyAlignment="1">
      <x:alignment horizontal="center"/>
    </x:xf>
    <x:xf numFmtId="201" fontId="8" fillId="9" borderId="12" xfId="0" applyNumberFormat="1" applyFont="1" applyFill="1" applyBorder="1" applyAlignment="1">
      <x:alignment horizontal="center" vertical="center"/>
    </x:xf>
    <x:xf numFmtId="201" fontId="8" fillId="9" borderId="13" xfId="0" applyNumberFormat="1" applyFont="1" applyFill="1" applyBorder="1" applyAlignment="1">
      <x:alignment horizontal="center" vertical="center"/>
    </x:xf>
    <x:xf numFmtId="201" fontId="8" fillId="9" borderId="14" xfId="0" applyNumberFormat="1" applyFont="1" applyFill="1" applyBorder="1" applyAlignment="1">
      <x:alignment horizontal="center" vertical="center"/>
    </x:xf>
    <x:xf numFmtId="201" fontId="8" fillId="9" borderId="15" xfId="0" applyNumberFormat="1" applyFont="1" applyFill="1" applyBorder="1" applyAlignment="1">
      <x:alignment horizontal="center" vertical="center"/>
    </x:xf>
    <x:xf numFmtId="206" fontId="8" fillId="9" borderId="12" xfId="0" applyNumberFormat="1" applyFont="1" applyFill="1" applyBorder="1"/>
    <x:xf numFmtId="206" fontId="8" fillId="9" borderId="13" xfId="0" applyNumberFormat="1" applyFont="1" applyFill="1" applyBorder="1"/>
    <x:xf numFmtId="206" fontId="8" fillId="9" borderId="14" xfId="0" applyNumberFormat="1" applyFont="1" applyFill="1" applyBorder="1"/>
    <x:xf numFmtId="206" fontId="8" fillId="9" borderId="15" xfId="0" applyNumberFormat="1" applyFont="1" applyFill="1" applyBorder="1"/>
    <x:xf numFmtId="206" fontId="8" fillId="9" borderId="12" xfId="0" applyNumberFormat="1" applyFont="1" applyFill="1" applyBorder="1" applyAlignment="1">
      <x:alignment horizontal="center"/>
    </x:xf>
    <x:xf numFmtId="206" fontId="8" fillId="9" borderId="13" xfId="0" applyNumberFormat="1" applyFont="1" applyFill="1" applyBorder="1" applyAlignment="1">
      <x:alignment horizontal="center"/>
    </x:xf>
    <x:xf numFmtId="206" fontId="8" fillId="9" borderId="14" xfId="0" applyNumberFormat="1" applyFont="1" applyFill="1" applyBorder="1" applyAlignment="1">
      <x:alignment horizontal="center"/>
    </x:xf>
    <x:xf numFmtId="206" fontId="8" fillId="9" borderId="15" xfId="0" applyNumberFormat="1" applyFont="1" applyFill="1" applyBorder="1" applyAlignment="1">
      <x:alignment horizontal="center"/>
    </x:xf>
    <x:xf numFmtId="206" fontId="8" fillId="9" borderId="12" xfId="0" applyNumberFormat="1" applyFont="1" applyFill="1" applyBorder="1" applyAlignment="1">
      <x:alignment horizontal="center" vertical="center"/>
    </x:xf>
    <x:xf numFmtId="206" fontId="8" fillId="9" borderId="13" xfId="0" applyNumberFormat="1" applyFont="1" applyFill="1" applyBorder="1" applyAlignment="1">
      <x:alignment horizontal="center" vertical="center"/>
    </x:xf>
    <x:xf numFmtId="206" fontId="8" fillId="9" borderId="14" xfId="0" applyNumberFormat="1" applyFont="1" applyFill="1" applyBorder="1" applyAlignment="1">
      <x:alignment horizontal="center" vertical="center"/>
    </x:xf>
    <x:xf numFmtId="206" fontId="8" fillId="9" borderId="15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4" xfId="0" applyNumberFormat="1" applyFont="1" applyFill="1" applyBorder="1" applyAlignment="1">
      <x:alignment horizontal="center"/>
    </x:xf>
    <x:xf numFmtId="0" fontId="9" fillId="3" borderId="5" xfId="0" applyNumberFormat="1" applyFont="1" applyFill="1" applyBorder="1" applyAlignment="1">
      <x:alignment horizontal="center"/>
    </x:xf>
    <x:xf numFmtId="0" fontId="9" fillId="3" borderId="10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8" xfId="0" applyNumberFormat="1" applyFont="1" applyFill="1" applyBorder="1"/>
    <x:xf numFmtId="0" fontId="6" fillId="6" borderId="19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22" xfId="0" applyNumberFormat="1" applyFont="1" applyFill="1" applyBorder="1"/>
    <x:xf numFmtId="0" fontId="6" fillId="6" borderId="23" xfId="0" applyNumberFormat="1" applyFont="1" applyFill="1" applyBorder="1"/>
    <x:xf numFmtId="0" fontId="6" fillId="6" borderId="16" xfId="0" applyNumberFormat="1" applyFont="1" applyFill="1" applyBorder="1" applyAlignment="1">
      <x:alignment wrapText="1"/>
    </x:xf>
    <x:xf numFmtId="0" fontId="6" fillId="6" borderId="17" xfId="0" applyNumberFormat="1" applyFont="1" applyFill="1" applyBorder="1" applyAlignment="1">
      <x:alignment wrapText="1"/>
    </x:xf>
    <x:xf numFmtId="0" fontId="6" fillId="6" borderId="18" xfId="0" applyNumberFormat="1" applyFont="1" applyFill="1" applyBorder="1" applyAlignment="1">
      <x:alignment wrapText="1"/>
    </x:xf>
    <x:xf numFmtId="0" fontId="6" fillId="6" borderId="19" xfId="0" applyNumberFormat="1" applyFont="1" applyFill="1" applyBorder="1" applyAlignment="1">
      <x:alignment wrapText="1"/>
    </x:xf>
    <x:xf numFmtId="0" fontId="6" fillId="6" borderId="20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wrapText="1"/>
    </x:xf>
    <x:xf numFmtId="0" fontId="6" fillId="6" borderId="22" xfId="0" applyNumberFormat="1" applyFont="1" applyFill="1" applyBorder="1" applyAlignment="1">
      <x:alignment wrapText="1"/>
    </x:xf>
    <x:xf numFmtId="0" fontId="6" fillId="6" borderId="23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vertical="center" wrapText="1"/>
    </x:xf>
    <x:xf numFmtId="0" fontId="6" fillId="6" borderId="17" xfId="0" applyNumberFormat="1" applyFont="1" applyFill="1" applyBorder="1" applyAlignment="1">
      <x:alignment vertical="center" wrapText="1"/>
    </x:xf>
    <x:xf numFmtId="0" fontId="6" fillId="6" borderId="18" xfId="0" applyNumberFormat="1" applyFont="1" applyFill="1" applyBorder="1" applyAlignment="1">
      <x:alignment vertical="center" wrapText="1"/>
    </x:xf>
    <x:xf numFmtId="0" fontId="6" fillId="6" borderId="19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20" xfId="0" applyNumberFormat="1" applyFont="1" applyFill="1" applyBorder="1" applyAlignment="1">
      <x:alignment vertical="center" wrapText="1"/>
    </x:xf>
    <x:xf numFmtId="0" fontId="6" fillId="6" borderId="21" xfId="0" applyNumberFormat="1" applyFont="1" applyFill="1" applyBorder="1" applyAlignment="1">
      <x:alignment vertical="center" wrapText="1"/>
    </x:xf>
    <x:xf numFmtId="0" fontId="6" fillId="6" borderId="22" xfId="0" applyNumberFormat="1" applyFont="1" applyFill="1" applyBorder="1" applyAlignment="1">
      <x:alignment vertical="center" wrapText="1"/>
    </x:xf>
    <x:xf numFmtId="0" fontId="6" fillId="6" borderId="23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/>
    </x:xf>
    <x:xf numFmtId="20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200" fontId="0" fillId="0" borderId="5" xfId="0" applyNumberFormat="1" applyFont="1" applyFill="1" applyBorder="1" applyAlignment="1">
      <x:alignment vertical="top"/>
    </x:xf>
    <x:xf numFmtId="201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201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2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3" fontId="5" fillId="5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  <x:xf numFmtId="201" fontId="5" fillId="5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5" fontId="5" fillId="5" borderId="0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horizontal="center" vertical="top" wrapText="1"/>
    </x:xf>
    <x:xf numFmtId="0" fontId="0" fillId="7" borderId="11" xfId="0" applyNumberFormat="1" applyFont="1" applyFill="1" applyBorder="1" applyAlignment="1">
      <x:alignment horizontal="center" vertical="top" wrapText="1"/>
    </x:xf>
    <x:xf numFmtId="0" fontId="0" fillId="6" borderId="11" xfId="0" applyNumberFormat="1" applyFont="1" applyFill="1" applyBorder="1" applyAlignment="1">
      <x:alignment horizontal="center" vertical="top" wrapText="1"/>
    </x:xf>
    <x:xf numFmtId="0" fontId="0" fillId="8" borderId="11" xfId="0" applyNumberFormat="1" applyFont="1" applyFill="1" applyBorder="1" applyAlignment="1">
      <x:alignment horizontal="center" vertical="top" wrapText="1"/>
    </x:xf>
    <x:xf numFmtId="0" fontId="0" fillId="5" borderId="11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26734D"/>
      </x:font>
      <x:fill>
        <x:patternFill patternType="solid">
          <x:bgColor rgb="FFDDF2E5"/>
        </x:patternFill>
      </x:fill>
    </x:dxf>
    <x:dxf>
      <x:font>
        <x:color rgb="FF8A1C1C"/>
      </x:font>
      <x:fill>
        <x:patternFill patternType="solid">
          <x:bgColor rgb="FFF8D7DA"/>
        </x:patternFill>
      </x:fill>
    </x:dxf>
    <x:dxf>
      <x:font>
        <x:b/>
      </x:font>
      <x:fill>
        <x:patternFill patternType="solid">
          <x:bgColor rgb="FFDDF2E5"/>
        </x:patternFill>
      </x:fill>
    </x:dxf>
    <x:dxf>
      <x:fill>
        <x:patternFill patternType="solid">
          <x:bgColor rgb="FFDCEAF7"/>
        </x:patternFill>
      </x:fill>
    </x:dxf>
    <x:dxf>
      <x:font>
        <x:b/>
      </x:font>
      <x:fill>
        <x:patternFill patternType="solid">
          <x:bgColor rgb="FFDDF2E5"/>
        </x:patternFill>
      </x:fill>
    </x:dxf>
    <x:dxf>
      <x:fill>
        <x:patternFill patternType="solid">
          <x:bgColor rgb="FFDC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3da4f41a34410" /><Relationship Type="http://schemas.openxmlformats.org/officeDocument/2006/relationships/theme" Target="/xl/theme/theme1.xml" Id="Rd42cceafee6c45c3" /><Relationship Type="http://schemas.openxmlformats.org/officeDocument/2006/relationships/sharedStrings" Target="/xl/sharedStrings.xml" Id="R553523b58cf041e7" /><Relationship Type="http://schemas.openxmlformats.org/officeDocument/2006/relationships/worksheet" Target="/xl/worksheets/sheet1.xml" Id="R86e9932529fa494a" /><Relationship Type="http://schemas.openxmlformats.org/officeDocument/2006/relationships/worksheet" Target="/xl/worksheets/sheet2.xml" Id="R3ba9f84fb1764279" /><Relationship Type="http://schemas.openxmlformats.org/officeDocument/2006/relationships/worksheet" Target="/xl/worksheets/sheet3.xml" Id="R0bddae19bddd4e01" /><Relationship Type="http://schemas.openxmlformats.org/officeDocument/2006/relationships/worksheet" Target="/xl/worksheets/sheet4.xml" Id="R97611df7e5ed41e9" /><Relationship Type="http://schemas.openxmlformats.org/officeDocument/2006/relationships/worksheet" Target="/xl/worksheets/sheet5.xml" Id="R21eed27cd0934ae4" /><Relationship Type="http://schemas.openxmlformats.org/officeDocument/2006/relationships/worksheet" Target="/xl/worksheets/sheet6.xml" Id="Rfbfa7c28dd304fff" /><Relationship Type="http://schemas.openxmlformats.org/officeDocument/2006/relationships/worksheet" Target="/xl/worksheets/sheet7.xml" Id="R541b25a4989d43e0" /><Relationship Type="http://schemas.openxmlformats.org/officeDocument/2006/relationships/worksheet" Target="/xl/worksheets/sheet8.xml" Id="R58fb7dbb05ff44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8a58043e5a4a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Recent Clip Reach by Platform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TikTok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'Dashboard'!$J$5:$J$9</c:f>
              <c:strCache>
                <c:ptCount val="0"/>
              </c:strCache>
            </c:strRef>
          </c:cat>
          <c:val>
            <c:numRef>
              <c:f>'Dashboard'!$K$5:$K$9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Instagram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'Dashboard'!$J$5:$J$9</c:f>
              <c:strCache>
                <c:ptCount val="0"/>
              </c:strCache>
            </c:strRef>
          </c:cat>
          <c:val>
            <c:numRef>
              <c:f>'Dashboard'!$L$5:$L$9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YouTube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'Dashboard'!$J$5:$J$9</c:f>
              <c:strCache>
                <c:ptCount val="0"/>
              </c:strCache>
            </c:strRef>
          </c:cat>
          <c:val>
            <c:numRef>
              <c:f>'Dashboard'!$M$5:$M$9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8a58043e5a4ab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ae6c888d1a47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30" hidden="0" customWidth="1"/>
    <x:col min="4" max="4" width="3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2" customHeight="1">
      <x:c r="A1" s="3" t="str">
        <x:v>EQUACAST CONTENT HQ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2" customHeight="1">
      <x:c r="A2" s="5" t="str">
        <x:v>Biweekly Thursday recording system | In-house editing | Evidence-led topic planning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4" ht="30" customHeight="1">
      <x:c r="A4" s="8" t="str">
        <x:v>CURRENT HEALTH SNAPSHOT · JUNE 28, 2026</x:v>
      </x:c>
      <x:c r="B4" s="8"/>
      <x:c r="C4" s="8"/>
      <x:c r="D4" s="8"/>
      <x:c r="E4" s="8"/>
      <x:c r="F4" s="8"/>
      <x:c r="G4" s="8"/>
      <x:c r="H4" s="8"/>
      <x:c r="J4" s="17" t="str">
        <x:v>Recent Clip</x:v>
      </x:c>
      <x:c r="K4" s="18" t="str">
        <x:v>TikTok</x:v>
      </x:c>
      <x:c r="L4" s="18" t="str">
        <x:v>Instagram</x:v>
      </x:c>
      <x:c r="M4" s="19" t="str">
        <x:v>YouTube</x:v>
      </x:c>
    </x:row>
    <x:row r="5">
      <x:c r="A5" s="104" t="str">
        <x:v>TikTok Followers</x:v>
      </x:c>
      <x:c r="B5" s="104"/>
      <x:c r="C5" s="104" t="str">
        <x:v>Instagram Followers</x:v>
      </x:c>
      <x:c r="D5" s="104"/>
      <x:c r="E5" s="104" t="str">
        <x:v>YouTube Subscribers</x:v>
      </x:c>
      <x:c r="F5" s="104"/>
      <x:c r="G5" s="104" t="str">
        <x:v>YouTube Views · 28d</x:v>
      </x:c>
      <x:c r="H5" s="104"/>
      <x:c r="J5" s="22" t="str">
        <x:v>Drake vs MJ</x:v>
      </x:c>
      <x:c r="K5" s="23" t="n">
        <x:v>725</x:v>
      </x:c>
      <x:c r="L5" s="23" t="n">
        <x:v>2631</x:v>
      </x:c>
      <x:c r="M5" s="23" t="n">
        <x:v>788</x:v>
      </x:c>
    </x:row>
    <x:row r="6">
      <x:c r="A6" s="119" t="n">
        <x:v>11800</x:v>
      </x:c>
      <x:c r="B6" s="120"/>
      <x:c r="C6" s="119" t="n">
        <x:v>1635</x:v>
      </x:c>
      <x:c r="D6" s="120"/>
      <x:c r="E6" s="119" t="n">
        <x:v>1973</x:v>
      </x:c>
      <x:c r="F6" s="120"/>
      <x:c r="G6" s="119" t="n">
        <x:v>4387</x:v>
      </x:c>
      <x:c r="H6" s="120"/>
      <x:c r="J6" s="24" t="str">
        <x:v>Iceman</x:v>
      </x:c>
      <x:c r="K6" s="25" t="n">
        <x:v>675</x:v>
      </x:c>
      <x:c r="L6" s="25" t="n">
        <x:v>1994</x:v>
      </x:c>
      <x:c r="M6" s="25" t="n">
        <x:v>1090</x:v>
      </x:c>
    </x:row>
    <x:row r="7">
      <x:c r="A7" s="121"/>
      <x:c r="B7" s="122"/>
      <x:c r="C7" s="121"/>
      <x:c r="D7" s="122"/>
      <x:c r="E7" s="121"/>
      <x:c r="F7" s="122"/>
      <x:c r="G7" s="121"/>
      <x:c r="H7" s="122"/>
      <x:c r="J7" s="24" t="str">
        <x:v>Ken Carson</x:v>
      </x:c>
      <x:c r="K7" s="25" t="n">
        <x:v>666</x:v>
      </x:c>
      <x:c r="L7" s="25" t="n">
        <x:v>986</x:v>
      </x:c>
      <x:c r="M7" s="25" t="n">
        <x:v>978</x:v>
      </x:c>
    </x:row>
    <x:row r="8">
      <x:c r="J8" s="24" t="str">
        <x:v>Knicks in 4</x:v>
      </x:c>
      <x:c r="K8" s="25" t="n">
        <x:v>588</x:v>
      </x:c>
      <x:c r="L8" s="25" t="n">
        <x:v>1548</x:v>
      </x:c>
      <x:c r="M8" s="25" t="n">
        <x:v>1189</x:v>
      </x:c>
    </x:row>
    <x:row r="9">
      <x:c r="A9" s="104" t="str">
        <x:v>YouTube Monthly Audience</x:v>
      </x:c>
      <x:c r="B9" s="104"/>
      <x:c r="C9" s="104" t="str">
        <x:v>Female Audience · YouTube</x:v>
      </x:c>
      <x:c r="D9" s="104"/>
      <x:c r="E9" s="104" t="str">
        <x:v>New Viewer Share · YouTube</x:v>
      </x:c>
      <x:c r="F9" s="104"/>
      <x:c r="G9" s="104" t="str">
        <x:v>Regular Viewers · YouTube</x:v>
      </x:c>
      <x:c r="H9" s="104"/>
      <x:c r="J9" s="54" t="str">
        <x:v>J. Cole Big 3</x:v>
      </x:c>
      <x:c r="K9" s="152" t="n">
        <x:v>891</x:v>
      </x:c>
      <x:c r="L9" s="152" t="n">
        <x:v>8629</x:v>
      </x:c>
      <x:c r="M9" s="152"/>
    </x:row>
    <x:row r="10">
      <x:c r="A10" s="119" t="n">
        <x:v>2400</x:v>
      </x:c>
      <x:c r="B10" s="120"/>
      <x:c r="C10" s="131" t="n">
        <x:v>0.026</x:v>
      </x:c>
      <x:c r="D10" s="132"/>
      <x:c r="E10" s="131" t="n">
        <x:v>0.987</x:v>
      </x:c>
      <x:c r="F10" s="132"/>
      <x:c r="G10" s="143" t="str">
        <x:v>&lt;0.1%</x:v>
      </x:c>
      <x:c r="H10" s="144"/>
    </x:row>
    <x:row r="11">
      <x:c r="A11" s="121"/>
      <x:c r="B11" s="122"/>
      <x:c r="C11" s="133"/>
      <x:c r="D11" s="134"/>
      <x:c r="E11" s="133"/>
      <x:c r="F11" s="134"/>
      <x:c r="G11" s="145"/>
      <x:c r="H11" s="146"/>
    </x:row>
    <x:row r="13" ht="23" customHeight="1">
      <x:c r="A13" s="8" t="str">
        <x:v>NEXT OPERATING CYCLE</x:v>
      </x:c>
      <x:c r="B13" s="8"/>
      <x:c r="C13" s="8"/>
      <x:c r="D13" s="8"/>
      <x:c r="E13" s="8"/>
      <x:c r="F13" s="8"/>
      <x:c r="G13" s="8"/>
      <x:c r="H13" s="8"/>
    </x:row>
    <x:row r="14" ht="30" customHeight="1">
      <x:c r="A14" s="17" t="str">
        <x:v>When</x:v>
      </x:c>
      <x:c r="B14" s="18" t="str">
        <x:v>Action</x:v>
      </x:c>
      <x:c r="C14" s="18" t="str">
        <x:v>Output</x:v>
      </x:c>
      <x:c r="D14" s="19" t="str">
        <x:v>Definition of Done</x:v>
      </x:c>
      <x:c r="E14" t="str"/>
      <x:c r="F14" t="str"/>
      <x:c r="G14" t="str"/>
      <x:c r="H14" t="str"/>
    </x:row>
    <x:row r="15">
      <x:c r="A15" s="59" t="str">
        <x:v>Mon-Wed</x:v>
      </x:c>
      <x:c r="B15" s="59" t="str">
        <x:v>Collect + score topics</x:v>
      </x:c>
      <x:c r="C15" s="59" t="str">
        <x:v>10 ideas → 5 segments</x:v>
      </x:c>
      <x:c r="D15" s="59" t="str">
        <x:v>Every segment has a viewer-facing hook</x:v>
      </x:c>
      <x:c r="E15" t="str"/>
      <x:c r="F15" t="str"/>
      <x:c r="G15" t="str"/>
      <x:c r="H15" t="str"/>
    </x:row>
    <x:row r="16">
      <x:c r="A16" s="60" t="str">
        <x:v>Thursday night</x:v>
      </x:c>
      <x:c r="B16" s="60" t="str">
        <x:v>Record</x:v>
      </x:c>
      <x:c r="C16" s="60" t="str">
        <x:v>45-75 minute episode</x:v>
      </x:c>
      <x:c r="D16" s="60" t="str">
        <x:v>Five segments; each starts with a clean question</x:v>
      </x:c>
      <x:c r="E16" t="str"/>
      <x:c r="F16" t="str"/>
      <x:c r="G16" t="str"/>
      <x:c r="H16" t="str"/>
    </x:row>
    <x:row r="17">
      <x:c r="A17" s="60" t="str">
        <x:v>Friday</x:v>
      </x:c>
      <x:c r="B17" s="60" t="str">
        <x:v>Mark clip moments</x:v>
      </x:c>
      <x:c r="C17" s="60" t="str">
        <x:v>8 candidates</x:v>
      </x:c>
      <x:c r="D17" s="60" t="str">
        <x:v>Timecode, hook, platform, and owner entered</x:v>
      </x:c>
      <x:c r="E17" t="str"/>
      <x:c r="F17" t="str"/>
      <x:c r="G17" t="str"/>
      <x:c r="H17" t="str"/>
    </x:row>
    <x:row r="18">
      <x:c r="A18" s="60" t="str">
        <x:v>Weekend</x:v>
      </x:c>
      <x:c r="B18" s="60" t="str">
        <x:v>Edit + publish</x:v>
      </x:c>
      <x:c r="C18" s="60" t="str">
        <x:v>1 long-form + 2 shorts</x:v>
      </x:c>
      <x:c r="D18" s="60" t="str">
        <x:v>No dead air before the hook</x:v>
      </x:c>
      <x:c r="E18" t="str"/>
      <x:c r="F18" t="str"/>
      <x:c r="G18" t="str"/>
      <x:c r="H18" t="str"/>
    </x:row>
    <x:row r="19">
      <x:c r="A19" s="60" t="str">
        <x:v>Following week</x:v>
      </x:c>
      <x:c r="B19" s="60" t="str">
        <x:v>Release + review</x:v>
      </x:c>
      <x:c r="C19" s="60" t="str">
        <x:v>2-3 more shorts</x:v>
      </x:c>
      <x:c r="D19" s="60" t="str">
        <x:v>Sunday review completed before next topic lock</x:v>
      </x:c>
      <x:c r="E19" t="str"/>
      <x:c r="F19" t="str"/>
      <x:c r="G19" t="str"/>
      <x:c r="H19" t="str"/>
    </x:row>
    <x:row r="20">
      <x:c r="A20" s="61" t="str">
        <x:v>Target cadence</x:v>
      </x:c>
      <x:c r="B20" s="61" t="str">
        <x:v>Every two weeks</x:v>
      </x:c>
      <x:c r="C20" s="61" t="str">
        <x:v>4-5 short posts per cycle</x:v>
      </x:c>
      <x:c r="D20" s="61" t="str">
        <x:v>Consistency beats volume spikes</x:v>
      </x:c>
      <x:c r="E20" t="str"/>
      <x:c r="F20" t="str"/>
      <x:c r="G20" t="str"/>
      <x:c r="H20" t="str"/>
    </x:row>
    <x:row r="22" ht="23" customHeight="1">
      <x:c r="A22" s="8" t="str">
        <x:v>FIRST 30-DAY PRIORITIES</x:v>
      </x:c>
      <x:c r="B22" s="8"/>
      <x:c r="C22" s="8"/>
      <x:c r="D22" s="8"/>
      <x:c r="E22" s="8"/>
      <x:c r="F22" s="8"/>
      <x:c r="G22" s="8"/>
      <x:c r="H22" s="8"/>
    </x:row>
    <x:row r="23">
      <x:c r="A23" s="149" t="str">
        <x:v>1</x:v>
      </x:c>
      <x:c r="B23" s="59" t="str">
        <x:v>Launch Pick a Side</x:v>
      </x:c>
      <x:c r="C23" s="59" t="str">
        <x:v>Use a visible question and choices before the first spoken sentence</x:v>
      </x:c>
      <x:c r="D23" s="59" t="str">
        <x:v>Owner: Both</x:v>
      </x:c>
      <x:c r="E23" t="str"/>
      <x:c r="F23" t="str"/>
      <x:c r="G23" t="str"/>
      <x:c r="H23" t="str"/>
    </x:row>
    <x:row r="24">
      <x:c r="A24" s="150" t="str">
        <x:v>2</x:v>
      </x:c>
      <x:c r="B24" s="60" t="str">
        <x:v>Build return behavior</x:v>
      </x:c>
      <x:c r="C24" s="60" t="str">
        <x:v>Name recurring formats and run Comment of the Week every cycle</x:v>
      </x:c>
      <x:c r="D24" s="60" t="str">
        <x:v>Measure: regular viewers</x:v>
      </x:c>
      <x:c r="E24" t="str"/>
      <x:c r="F24" t="str"/>
      <x:c r="G24" t="str"/>
      <x:c r="H24" t="str"/>
    </x:row>
    <x:row r="25">
      <x:c r="A25" s="150" t="str">
        <x:v>3</x:v>
      </x:c>
      <x:c r="B25" s="60" t="str">
        <x:v>Broaden the room</x:v>
      </x:c>
      <x:c r="C25" s="60" t="str">
        <x:v>Add recurring women creators/fans through Third Mic and wider culture intersections</x:v>
      </x:c>
      <x:c r="D25" s="60" t="str">
        <x:v>Measure: female audience share</x:v>
      </x:c>
      <x:c r="E25" t="str"/>
      <x:c r="F25" t="str"/>
      <x:c r="G25" t="str"/>
      <x:c r="H25" t="str"/>
    </x:row>
    <x:row r="26">
      <x:c r="A26" s="150" t="str">
        <x:v>4</x:v>
      </x:c>
      <x:c r="B26" s="60" t="str">
        <x:v>Shorten weak cuts</x:v>
      </x:c>
      <x:c r="C26" s="60" t="str">
        <x:v>Default to 25-60 seconds unless the interaction itself earns longer runtime</x:v>
      </x:c>
      <x:c r="D26" s="60" t="str">
        <x:v>Measure: average viewed %</x:v>
      </x:c>
      <x:c r="E26" t="str"/>
      <x:c r="F26" t="str"/>
      <x:c r="G26" t="str"/>
      <x:c r="H26" t="str"/>
    </x:row>
    <x:row r="27">
      <x:c r="A27" s="150" t="str">
        <x:v>5</x:v>
      </x:c>
      <x:c r="B27" s="60" t="str">
        <x:v>Make the set recognizable</x:v>
      </x:c>
      <x:c r="C27" s="60" t="str">
        <x:v>Logo + orange accent + two curated shelves; clean tabletop</x:v>
      </x:c>
      <x:c r="D27" s="60" t="str">
        <x:v>Measure: visual consistency</x:v>
      </x:c>
      <x:c r="E27" t="str"/>
      <x:c r="F27" t="str"/>
      <x:c r="G27" t="str"/>
      <x:c r="H27" t="str"/>
    </x:row>
    <x:row r="28">
      <x:c r="A28" s="151" t="str">
        <x:v>6</x:v>
      </x:c>
      <x:c r="B28" s="61" t="str">
        <x:v>Clean YouTube identity</x:v>
      </x:c>
      <x:c r="C28" s="61" t="str">
        <x:v>Rename display from Equa to Equacast and rebuild the banner safe area/home layout</x:v>
      </x:c>
      <x:c r="D28" s="61" t="str">
        <x:v>Measure: subscriber conversion</x:v>
      </x:c>
      <x:c r="E28" t="str"/>
      <x:c r="F28" t="str"/>
      <x:c r="G28" t="str"/>
      <x:c r="H28" t="str"/>
    </x:row>
    <x:row r="30">
      <x:c r="A30" s="179" t="str">
        <x:v>Yellow cells across the workbook are inputs. Start in Topic Inbox, lock the Recording Plan on Wednesday, track each platform post in Clip Tracker, and use Weekly Review every Sunday.</x:v>
      </x:c>
      <x:c r="B30" s="179"/>
      <x:c r="C30" s="179"/>
      <x:c r="D30" s="179"/>
      <x:c r="E30" s="179"/>
      <x:c r="F30" s="179"/>
      <x:c r="G30" s="179"/>
      <x:c r="H30" s="179"/>
      <x:c r="J30" s="169" t="str">
        <x:v>CORE FINDING: The breakout pattern is a simple, visible question that lets viewers participate immediately. The current bottleneck is not production quality; it is repeatability, retention, and converting discovery into habit.</x:v>
      </x:c>
      <x:c r="K30" s="170"/>
      <x:c r="L30" s="170"/>
      <x:c r="M30" s="170"/>
      <x:c r="N30" s="170"/>
      <x:c r="O30" s="170"/>
      <x:c r="P30" s="170"/>
      <x:c r="Q30" s="171"/>
    </x:row>
    <x:row r="31">
      <x:c r="A31" s="179"/>
      <x:c r="B31" s="179"/>
      <x:c r="C31" s="179"/>
      <x:c r="D31" s="179"/>
      <x:c r="E31" s="179"/>
      <x:c r="F31" s="179"/>
      <x:c r="G31" s="179"/>
      <x:c r="H31" s="179"/>
      <x:c r="J31" s="172"/>
      <x:c r="K31" s="173"/>
      <x:c r="L31" s="173"/>
      <x:c r="M31" s="173"/>
      <x:c r="N31" s="173"/>
      <x:c r="O31" s="173"/>
      <x:c r="P31" s="173"/>
      <x:c r="Q31" s="174"/>
    </x:row>
    <x:row r="32">
      <x:c r="A32" s="179"/>
      <x:c r="B32" s="179"/>
      <x:c r="C32" s="179"/>
      <x:c r="D32" s="179"/>
      <x:c r="E32" s="179"/>
      <x:c r="F32" s="179"/>
      <x:c r="G32" s="179"/>
      <x:c r="H32" s="179"/>
      <x:c r="J32" s="172"/>
      <x:c r="K32" s="173"/>
      <x:c r="L32" s="173"/>
      <x:c r="M32" s="173"/>
      <x:c r="N32" s="173"/>
      <x:c r="O32" s="173"/>
      <x:c r="P32" s="173"/>
      <x:c r="Q32" s="174"/>
    </x:row>
    <x:row r="33">
      <x:c r="J33" s="175"/>
      <x:c r="K33" s="176"/>
      <x:c r="L33" s="176"/>
      <x:c r="M33" s="176"/>
      <x:c r="N33" s="176"/>
      <x:c r="O33" s="176"/>
      <x:c r="P33" s="176"/>
      <x:c r="Q33" s="177"/>
    </x:row>
  </x:sheetData>
  <x:mergeCells>
    <x:mergeCell ref="A1:Q1"/>
    <x:mergeCell ref="A2:Q2"/>
    <x:mergeCell ref="A4:H4"/>
    <x:mergeCell ref="A5:B5"/>
    <x:mergeCell ref="A6:B7"/>
    <x:mergeCell ref="C5:D5"/>
    <x:mergeCell ref="C6:D7"/>
    <x:mergeCell ref="E5:F5"/>
    <x:mergeCell ref="E6:F7"/>
    <x:mergeCell ref="G5:H5"/>
    <x:mergeCell ref="G6:H7"/>
    <x:mergeCell ref="A9:B9"/>
    <x:mergeCell ref="A10:B11"/>
    <x:mergeCell ref="C9:D9"/>
    <x:mergeCell ref="C10:D11"/>
    <x:mergeCell ref="E9:F9"/>
    <x:mergeCell ref="E10:F11"/>
    <x:mergeCell ref="G9:H9"/>
    <x:mergeCell ref="G10:H11"/>
    <x:mergeCell ref="A13:H13"/>
    <x:mergeCell ref="A22:H22"/>
    <x:mergeCell ref="J30:Q33"/>
    <x:mergeCell ref="A30:H32"/>
  </x:mergeCells>
  <x:pageMargins left="0.7" right="0.7" top="0.75" bottom="0.75" header="0.3" footer="0.3"/>
  <x:drawing xmlns:r="http://schemas.openxmlformats.org/officeDocument/2006/relationships" r:id="Rb9ae6c888d1a474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1" hidden="0" customWidth="1"/>
    <x:col min="4" max="4" width="24" hidden="0" customWidth="1"/>
    <x:col min="5" max="5" width="16" hidden="0" customWidth="1"/>
    <x:col min="6" max="6" width="34" hidden="0" customWidth="1"/>
    <x:col min="7" max="7" width="2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38" hidden="0" customWidth="1"/>
    <x:col min="17" max="17" width="38" hidden="0" customWidth="1"/>
    <x:col min="18" max="18" width="44" hidden="0" customWidth="1"/>
  </x:cols>
  <x:sheetData>
    <x:row r="1" ht="32" customHeight="1">
      <x:c r="A1" s="180" t="str">
        <x:v>EQUACAST CONTENT AUDIT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</x:row>
    <x:row r="2" ht="22" customHeight="1">
      <x:c r="A2" s="181" t="str">
        <x:v>Representative account sample reviewed June 28, 2026. Add platform exports here as the audit grows.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</x:row>
    <x:row r="3">
      <x:c r="A3" s="182"/>
      <x:c r="B3" s="182"/>
      <x:c r="C3" s="182"/>
      <x:c r="D3" s="182"/>
      <x:c r="E3" s="182"/>
      <x:c r="F3" s="182"/>
      <x:c r="G3" s="182"/>
      <x:c r="H3" s="182"/>
      <x:c r="I3" s="182"/>
      <x:c r="J3" s="182"/>
      <x:c r="K3" s="182"/>
      <x:c r="L3" s="182"/>
      <x:c r="M3" s="182"/>
      <x:c r="N3" s="182"/>
      <x:c r="O3" s="182"/>
      <x:c r="P3" s="182"/>
      <x:c r="Q3" s="182"/>
      <x:c r="R3" s="182"/>
    </x:row>
    <x:row r="4" ht="23" customHeight="1">
      <x:c r="A4" s="183" t="str">
        <x:v>CURRENT PLATFORM BASELINE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3"/>
      <x:c r="O4" s="183"/>
      <x:c r="P4" s="183"/>
      <x:c r="Q4" s="183"/>
      <x:c r="R4" s="183"/>
    </x:row>
    <x:row r="5" ht="30" customHeight="1">
      <x:c r="A5" s="184" t="str">
        <x:v>Platform</x:v>
      </x:c>
      <x:c r="B5" s="185" t="str">
        <x:v>Metric</x:v>
      </x:c>
      <x:c r="C5" s="185" t="str">
        <x:v>Value</x:v>
      </x:c>
      <x:c r="D5" s="185" t="str">
        <x:v>Period</x:v>
      </x:c>
      <x:c r="E5" s="186" t="str">
        <x:v>Source / Note</x:v>
      </x:c>
      <x:c r="F5" s="182"/>
      <x:c r="G5" s="182"/>
      <x:c r="H5" s="182"/>
      <x:c r="I5" s="182"/>
      <x:c r="J5" s="182"/>
      <x:c r="K5" s="182"/>
      <x:c r="L5" s="182"/>
      <x:c r="M5" s="182"/>
      <x:c r="N5" s="182"/>
      <x:c r="O5" s="182"/>
      <x:c r="P5" s="182"/>
      <x:c r="Q5" s="182"/>
      <x:c r="R5" s="182"/>
    </x:row>
    <x:row r="6">
      <x:c r="A6" s="187" t="str">
        <x:v>TikTok</x:v>
      </x:c>
      <x:c r="B6" s="187" t="str">
        <x:v>Followers</x:v>
      </x:c>
      <x:c r="C6" s="188" t="n">
        <x:v>11800</x:v>
      </x:c>
      <x:c r="D6" s="187" t="str">
        <x:v>Current</x:v>
      </x:c>
      <x:c r="E6" s="187" t="str">
        <x:v>Public profile</x:v>
      </x:c>
      <x:c r="F6" s="182"/>
      <x:c r="G6" s="182"/>
      <x:c r="H6" s="182"/>
      <x:c r="I6" s="182"/>
      <x:c r="J6" s="182"/>
      <x:c r="K6" s="182"/>
      <x:c r="L6" s="182"/>
      <x:c r="M6" s="182"/>
      <x:c r="N6" s="182"/>
      <x:c r="O6" s="182"/>
      <x:c r="P6" s="182"/>
      <x:c r="Q6" s="182"/>
      <x:c r="R6" s="182"/>
    </x:row>
    <x:row r="7">
      <x:c r="A7" s="189" t="str">
        <x:v>TikTok</x:v>
      </x:c>
      <x:c r="B7" s="189" t="str">
        <x:v>Lifetime likes</x:v>
      </x:c>
      <x:c r="C7" s="190" t="n">
        <x:v>414600</x:v>
      </x:c>
      <x:c r="D7" s="189" t="str">
        <x:v>Current</x:v>
      </x:c>
      <x:c r="E7" s="189" t="str">
        <x:v>Public profile</x:v>
      </x:c>
      <x:c r="F7" s="182"/>
      <x:c r="G7" s="182"/>
      <x:c r="H7" s="182"/>
      <x:c r="I7" s="182"/>
      <x:c r="J7" s="182"/>
      <x:c r="K7" s="182"/>
      <x:c r="L7" s="182"/>
      <x:c r="M7" s="182"/>
      <x:c r="N7" s="182"/>
      <x:c r="O7" s="182"/>
      <x:c r="P7" s="182"/>
      <x:c r="Q7" s="182"/>
      <x:c r="R7" s="182"/>
    </x:row>
    <x:row r="8">
      <x:c r="A8" s="189" t="str">
        <x:v>Instagram</x:v>
      </x:c>
      <x:c r="B8" s="189" t="str">
        <x:v>Followers</x:v>
      </x:c>
      <x:c r="C8" s="190" t="n">
        <x:v>1635</x:v>
      </x:c>
      <x:c r="D8" s="189" t="str">
        <x:v>Current</x:v>
      </x:c>
      <x:c r="E8" s="189" t="str">
        <x:v>Public profile</x:v>
      </x:c>
      <x:c r="F8" s="182"/>
      <x:c r="G8" s="182"/>
      <x:c r="H8" s="182"/>
      <x:c r="I8" s="182"/>
      <x:c r="J8" s="182"/>
      <x:c r="K8" s="182"/>
      <x:c r="L8" s="182"/>
      <x:c r="M8" s="182"/>
      <x:c r="N8" s="182"/>
      <x:c r="O8" s="182"/>
      <x:c r="P8" s="182"/>
      <x:c r="Q8" s="182"/>
      <x:c r="R8" s="182"/>
    </x:row>
    <x:row r="9">
      <x:c r="A9" s="189" t="str">
        <x:v>YouTube</x:v>
      </x:c>
      <x:c r="B9" s="189" t="str">
        <x:v>Subscribers</x:v>
      </x:c>
      <x:c r="C9" s="190" t="n">
        <x:v>1973</x:v>
      </x:c>
      <x:c r="D9" s="189" t="str">
        <x:v>Current</x:v>
      </x:c>
      <x:c r="E9" s="189" t="str">
        <x:v>YouTube Studio</x:v>
      </x:c>
      <x:c r="F9" s="182"/>
      <x:c r="G9" s="182"/>
      <x:c r="H9" s="182"/>
      <x:c r="I9" s="182"/>
      <x:c r="J9" s="182"/>
      <x:c r="K9" s="182"/>
      <x:c r="L9" s="182"/>
      <x:c r="M9" s="182"/>
      <x:c r="N9" s="182"/>
      <x:c r="O9" s="182"/>
      <x:c r="P9" s="182"/>
      <x:c r="Q9" s="182"/>
      <x:c r="R9" s="182"/>
    </x:row>
    <x:row r="10">
      <x:c r="A10" s="189" t="str">
        <x:v>YouTube</x:v>
      </x:c>
      <x:c r="B10" s="189" t="str">
        <x:v>Views</x:v>
      </x:c>
      <x:c r="C10" s="190" t="n">
        <x:v>4387</x:v>
      </x:c>
      <x:c r="D10" s="189" t="str">
        <x:v>Last 28 days</x:v>
      </x:c>
      <x:c r="E10" s="189" t="str">
        <x:v>May 30-Jun 26, 2026</x:v>
      </x:c>
      <x:c r="F10" s="182"/>
      <x:c r="G10" s="182"/>
      <x:c r="H10" s="182"/>
      <x:c r="I10" s="182"/>
      <x:c r="J10" s="182"/>
      <x:c r="K10" s="182"/>
      <x:c r="L10" s="182"/>
      <x:c r="M10" s="182"/>
      <x:c r="N10" s="182"/>
      <x:c r="O10" s="182"/>
      <x:c r="P10" s="182"/>
      <x:c r="Q10" s="182"/>
      <x:c r="R10" s="182"/>
    </x:row>
    <x:row r="11">
      <x:c r="A11" s="189" t="str">
        <x:v>YouTube</x:v>
      </x:c>
      <x:c r="B11" s="189" t="str">
        <x:v>Watch time (hours)</x:v>
      </x:c>
      <x:c r="C11" s="190" t="n">
        <x:v>20</x:v>
      </x:c>
      <x:c r="D11" s="189" t="str">
        <x:v>Last 28 days</x:v>
      </x:c>
      <x:c r="E11" s="189" t="str">
        <x:v>YouTube Studio</x:v>
      </x:c>
      <x:c r="F11" s="182"/>
      <x:c r="G11" s="182"/>
      <x:c r="H11" s="182"/>
      <x:c r="I11" s="182"/>
      <x:c r="J11" s="182"/>
      <x:c r="K11" s="182"/>
      <x:c r="L11" s="182"/>
      <x:c r="M11" s="182"/>
      <x:c r="N11" s="182"/>
      <x:c r="O11" s="182"/>
      <x:c r="P11" s="182"/>
      <x:c r="Q11" s="182"/>
      <x:c r="R11" s="182"/>
    </x:row>
    <x:row r="12">
      <x:c r="A12" s="189" t="str">
        <x:v>YouTube</x:v>
      </x:c>
      <x:c r="B12" s="189" t="str">
        <x:v>Monthly audience</x:v>
      </x:c>
      <x:c r="C12" s="190" t="n">
        <x:v>2400</x:v>
      </x:c>
      <x:c r="D12" s="189" t="str">
        <x:v>Last 28 days</x:v>
      </x:c>
      <x:c r="E12" s="189" t="str">
        <x:v>YouTube Studio estimate</x:v>
      </x:c>
      <x:c r="F12" s="182"/>
      <x:c r="G12" s="182"/>
      <x:c r="H12" s="182"/>
      <x:c r="I12" s="182"/>
      <x:c r="J12" s="182"/>
      <x:c r="K12" s="182"/>
      <x:c r="L12" s="182"/>
      <x:c r="M12" s="182"/>
      <x:c r="N12" s="182"/>
      <x:c r="O12" s="182"/>
      <x:c r="P12" s="182"/>
      <x:c r="Q12" s="182"/>
      <x:c r="R12" s="182"/>
    </x:row>
    <x:row r="13">
      <x:c r="A13" s="189" t="str">
        <x:v>YouTube</x:v>
      </x:c>
      <x:c r="B13" s="189" t="str">
        <x:v>Female audience share</x:v>
      </x:c>
      <x:c r="C13" s="191" t="n">
        <x:v>0.026</x:v>
      </x:c>
      <x:c r="D13" s="189" t="str">
        <x:v>Last 28 days</x:v>
      </x:c>
      <x:c r="E13" s="189" t="str">
        <x:v>Male share: 97.4%</x:v>
      </x:c>
      <x:c r="F13" s="182"/>
      <x:c r="G13" s="182"/>
      <x:c r="H13" s="182"/>
      <x:c r="I13" s="182"/>
      <x:c r="J13" s="182"/>
      <x:c r="K13" s="182"/>
      <x:c r="L13" s="182"/>
      <x:c r="M13" s="182"/>
      <x:c r="N13" s="182"/>
      <x:c r="O13" s="182"/>
      <x:c r="P13" s="182"/>
      <x:c r="Q13" s="182"/>
      <x:c r="R13" s="182"/>
    </x:row>
    <x:row r="14">
      <x:c r="A14" s="192" t="str">
        <x:v>YouTube</x:v>
      </x:c>
      <x:c r="B14" s="192" t="str">
        <x:v>New viewer share</x:v>
      </x:c>
      <x:c r="C14" s="193" t="n">
        <x:v>0.987</x:v>
      </x:c>
      <x:c r="D14" s="192" t="str">
        <x:v>Last 28 days</x:v>
      </x:c>
      <x:c r="E14" s="192" t="str">
        <x:v>Regular viewers reported as &lt;0.1%</x:v>
      </x:c>
      <x:c r="F14" s="182"/>
      <x:c r="G14" s="182"/>
      <x:c r="H14" s="182"/>
      <x:c r="I14" s="182"/>
      <x:c r="J14" s="182"/>
      <x:c r="K14" s="182"/>
      <x:c r="L14" s="182"/>
      <x:c r="M14" s="182"/>
      <x:c r="N14" s="182"/>
      <x:c r="O14" s="182"/>
      <x:c r="P14" s="182"/>
      <x:c r="Q14" s="182"/>
      <x:c r="R14" s="182"/>
    </x:row>
    <x:row r="15">
      <x:c r="A15" s="182"/>
      <x:c r="B15" s="182"/>
      <x:c r="C15" s="182"/>
      <x:c r="D15" s="182"/>
      <x:c r="E15" s="182"/>
      <x:c r="F15" s="182"/>
      <x:c r="G15" s="182"/>
      <x:c r="H15" s="182"/>
      <x:c r="I15" s="182"/>
      <x:c r="J15" s="182"/>
      <x:c r="K15" s="182"/>
      <x:c r="L15" s="182"/>
      <x:c r="M15" s="182"/>
      <x:c r="N15" s="182"/>
      <x:c r="O15" s="182"/>
      <x:c r="P15" s="182"/>
      <x:c r="Q15" s="182"/>
      <x:c r="R15" s="182"/>
    </x:row>
    <x:row r="16" ht="23" customHeight="1">
      <x:c r="A16" s="183" t="str">
        <x:v>SAMPLED CONTENT: BREAKOUTS, RECENT POSTS, AND CROSS-PLATFORM COMPARISONS</x:v>
      </x:c>
      <x:c r="B16" s="183"/>
      <x:c r="C16" s="183"/>
      <x:c r="D16" s="183"/>
      <x:c r="E16" s="183"/>
      <x:c r="F16" s="183"/>
      <x:c r="G16" s="183"/>
      <x:c r="H16" s="183"/>
      <x:c r="I16" s="183"/>
      <x:c r="J16" s="183"/>
      <x:c r="K16" s="183"/>
      <x:c r="L16" s="183"/>
      <x:c r="M16" s="183"/>
      <x:c r="N16" s="183"/>
      <x:c r="O16" s="183"/>
      <x:c r="P16" s="183"/>
      <x:c r="Q16" s="183"/>
      <x:c r="R16" s="183"/>
    </x:row>
    <x:row r="17" ht="30" customHeight="1">
      <x:c r="A17" s="184" t="str">
        <x:v>Period</x:v>
      </x:c>
      <x:c r="B17" s="185" t="str">
        <x:v>Publish Date</x:v>
      </x:c>
      <x:c r="C17" s="185" t="str">
        <x:v>Platform</x:v>
      </x:c>
      <x:c r="D17" s="185" t="str">
        <x:v>Content</x:v>
      </x:c>
      <x:c r="E17" s="185" t="str">
        <x:v>Pillar</x:v>
      </x:c>
      <x:c r="F17" s="185" t="str">
        <x:v>Hook / Title</x:v>
      </x:c>
      <x:c r="G17" s="185" t="str">
        <x:v>Format</x:v>
      </x:c>
      <x:c r="H17" s="185" t="str">
        <x:v>Views</x:v>
      </x:c>
      <x:c r="I17" s="185" t="str">
        <x:v>Avg Viewed %</x:v>
      </x:c>
      <x:c r="J17" s="185" t="str">
        <x:v>Likes</x:v>
      </x:c>
      <x:c r="K17" s="185" t="str">
        <x:v>Comments</x:v>
      </x:c>
      <x:c r="L17" s="185" t="str">
        <x:v>Shares</x:v>
      </x:c>
      <x:c r="M17" s="185" t="str">
        <x:v>Saves</x:v>
      </x:c>
      <x:c r="N17" s="185" t="str">
        <x:v>Total Engagement</x:v>
      </x:c>
      <x:c r="O17" s="185" t="str">
        <x:v>Engagement Rate</x:v>
      </x:c>
      <x:c r="P17" s="185" t="str">
        <x:v>What Worked</x:v>
      </x:c>
      <x:c r="Q17" s="185" t="str">
        <x:v>Improvement</x:v>
      </x:c>
      <x:c r="R17" s="186" t="str">
        <x:v>Source URL</x:v>
      </x:c>
    </x:row>
    <x:row r="18">
      <x:c r="A18" s="194" t="str">
        <x:v>Historical</x:v>
      </x:c>
      <x:c r="B18" s="195"/>
      <x:c r="C18" s="194" t="str">
        <x:v>TikTok</x:v>
      </x:c>
      <x:c r="D18" s="194" t="str">
        <x:v>Worst Work Shift</x:v>
      </x:c>
      <x:c r="E18" s="194" t="str">
        <x:v>Lifestyle</x:v>
      </x:c>
      <x:c r="F18" s="194" t="str">
        <x:v>Which shift is the WORST?</x:v>
      </x:c>
      <x:c r="G18" s="194" t="str">
        <x:v>Multiple-choice podcast clip</x:v>
      </x:c>
      <x:c r="H18" s="196" t="n">
        <x:v>2300000</x:v>
      </x:c>
      <x:c r="I18" s="197"/>
      <x:c r="J18" s="196" t="n">
        <x:v>43500</x:v>
      </x:c>
      <x:c r="K18" s="196" t="n">
        <x:v>1696</x:v>
      </x:c>
      <x:c r="L18" s="196" t="n">
        <x:v>1532</x:v>
      </x:c>
      <x:c r="M18" s="196" t="n">
        <x:v>1888</x:v>
      </x:c>
      <x:c r="N18" s="196" t="n">
        <x:f>IF(COUNTA(J18:M18)=0,"",SUM(J18:M18))</x:f>
        <x:v>48616</x:v>
      </x:c>
      <x:c r="O18" s="197" t="n">
        <x:f>IF(N18="","",IFERROR(N18/H18,""))</x:f>
        <x:v>0.021137391304347827</x:v>
      </x:c>
      <x:c r="P18" s="194" t="str">
        <x:v>Universal question, visible choices, instant participation</x:v>
      </x:c>
      <x:c r="Q18" s="194" t="str">
        <x:v>Turn this into a named weekly series</x:v>
      </x:c>
      <x:c r="R18" s="194" t="str">
        <x:v>https://www.tiktok.com/@equacast/video/7502135710342778142</x:v>
      </x:c>
    </x:row>
    <x:row r="19">
      <x:c r="A19" s="198" t="str">
        <x:v>Historical</x:v>
      </x:c>
      <x:c r="B19" s="199"/>
      <x:c r="C19" s="198" t="str">
        <x:v>TikTok</x:v>
      </x:c>
      <x:c r="D19" s="198" t="str">
        <x:v>Wake Up Girlfriend</x:v>
      </x:c>
      <x:c r="E19" s="198" t="str">
        <x:v>Lifestyle</x:v>
      </x:c>
      <x:c r="F19" s="198" t="str">
        <x:v>How I wake up my girlfriend</x:v>
      </x:c>
      <x:c r="G19" s="198" t="str">
        <x:v>Relatable skit</x:v>
      </x:c>
      <x:c r="H19" s="200" t="n">
        <x:v>1500000</x:v>
      </x:c>
      <x:c r="I19" s="201"/>
      <x:c r="J19" s="200"/>
      <x:c r="K19" s="200"/>
      <x:c r="L19" s="200"/>
      <x:c r="M19" s="200"/>
      <x:c r="N19" s="200" t="str">
        <x:f>IF(COUNTA(J19:M19)=0,"",SUM(J19:M19))</x:f>
      </x:c>
      <x:c r="O19" s="201" t="str">
        <x:f>IF(N19="","",IFERROR(N19/H19,""))</x:f>
      </x:c>
      <x:c r="P19" s="198" t="str">
        <x:v>Human, visual, immediately understandable</x:v>
      </x:c>
      <x:c r="Q19" s="198" t="str">
        <x:v>Translate this relatability into the current two-host brand</x:v>
      </x:c>
      <x:c r="R19" s="198" t="str">
        <x:v>https://www.tiktok.com/@equacast/video/6877210193839672581</x:v>
      </x:c>
    </x:row>
    <x:row r="20">
      <x:c r="A20" s="198" t="str">
        <x:v>Historical</x:v>
      </x:c>
      <x:c r="B20" s="199" t="n">
        <x:v>44535</x:v>
      </x:c>
      <x:c r="C20" s="198" t="str">
        <x:v>TikTok</x:v>
      </x:c>
      <x:c r="D20" s="198" t="str">
        <x:v>Hold Her Bag</x:v>
      </x:c>
      <x:c r="E20" s="198" t="str">
        <x:v>Relationships</x:v>
      </x:c>
      <x:c r="F20" s="198" t="str">
        <x:v>Fellas, how do you hold your girl's bag?</x:v>
      </x:c>
      <x:c r="G20" s="198" t="str">
        <x:v>Visual question / skit</x:v>
      </x:c>
      <x:c r="H20" s="200" t="n">
        <x:v>1100000</x:v>
      </x:c>
      <x:c r="I20" s="201"/>
      <x:c r="J20" s="200" t="n">
        <x:v>169100</x:v>
      </x:c>
      <x:c r="K20" s="200" t="n">
        <x:v>1142</x:v>
      </x:c>
      <x:c r="L20" s="200" t="n">
        <x:v>7275</x:v>
      </x:c>
      <x:c r="M20" s="200" t="n">
        <x:v>3331</x:v>
      </x:c>
      <x:c r="N20" s="200" t="n">
        <x:f>IF(COUNTA(J20:M20)=0,"",SUM(J20:M20))</x:f>
        <x:v>180848</x:v>
      </x:c>
      <x:c r="O20" s="201" t="n">
        <x:f>IF(N20="","",IFERROR(N20/H20,""))</x:f>
        <x:v>0.16440727272727274</x:v>
      </x:c>
      <x:c r="P20" s="198" t="str">
        <x:v>Direct question, movement, couple context, broad appeal</x:v>
      </x:c>
      <x:c r="Q20" s="198" t="str">
        <x:v>Use inclusive prompts without turning the show into dating content</x:v>
      </x:c>
      <x:c r="R20" s="198" t="str">
        <x:v>https://www.tiktok.com/@equacast/video/7038391811894709510</x:v>
      </x:c>
    </x:row>
    <x:row r="21">
      <x:c r="A21" s="198" t="str">
        <x:v>Historical</x:v>
      </x:c>
      <x:c r="B21" s="199" t="n">
        <x:v>44284</x:v>
      </x:c>
      <x:c r="C21" s="198" t="str">
        <x:v>TikTok</x:v>
      </x:c>
      <x:c r="D21" s="198" t="str">
        <x:v>Show My Son DBZ</x:v>
      </x:c>
      <x:c r="E21" s="198" t="str">
        <x:v>Anime + Lifestyle</x:v>
      </x:c>
      <x:c r="F21" s="198" t="str">
        <x:v>Me showing my son Dragon Ball Z for the first time</x:v>
      </x:c>
      <x:c r="G21" s="198" t="str">
        <x:v>Visual story / skit</x:v>
      </x:c>
      <x:c r="H21" s="200" t="n">
        <x:v>822300</x:v>
      </x:c>
      <x:c r="I21" s="201"/>
      <x:c r="J21" s="200" t="n">
        <x:v>34100</x:v>
      </x:c>
      <x:c r="K21" s="200" t="n">
        <x:v>726</x:v>
      </x:c>
      <x:c r="L21" s="200" t="n">
        <x:v>5353</x:v>
      </x:c>
      <x:c r="M21" s="200" t="n">
        <x:v>878</x:v>
      </x:c>
      <x:c r="N21" s="200" t="n">
        <x:f>IF(COUNTA(J21:M21)=0,"",SUM(J21:M21))</x:f>
        <x:v>41057</x:v>
      </x:c>
      <x:c r="O21" s="201" t="n">
        <x:f>IF(N21="","",IFERROR(N21/H21,""))</x:f>
        <x:v>0.04992946613158215</x:v>
      </x:c>
      <x:c r="P21" s="198" t="str">
        <x:v>Anime connected to family and emotion</x:v>
      </x:c>
      <x:c r="Q21" s="198" t="str">
        <x:v>Repeat anime-through-real-life storytelling</x:v>
      </x:c>
      <x:c r="R21" s="198" t="str">
        <x:v>https://www.tiktok.com/@equacast/video/6945185552111029509</x:v>
      </x:c>
    </x:row>
    <x:row r="22">
      <x:c r="A22" s="198" t="str">
        <x:v>Historical</x:v>
      </x:c>
      <x:c r="B22" s="199" t="n">
        <x:v>45033</x:v>
      </x:c>
      <x:c r="C22" s="198" t="str">
        <x:v>TikTok</x:v>
      </x:c>
      <x:c r="D22" s="198" t="str">
        <x:v>Drake &amp; Weeknd AI Song</x:v>
      </x:c>
      <x:c r="E22" s="198" t="str">
        <x:v>Hip-Hop</x:v>
      </x:c>
      <x:c r="F22" s="198" t="str">
        <x:v>Drake and The Weeknd AI song reaction</x:v>
      </x:c>
      <x:c r="G22" s="198" t="str">
        <x:v>Fast trend reaction</x:v>
      </x:c>
      <x:c r="H22" s="200" t="n">
        <x:v>169200</x:v>
      </x:c>
      <x:c r="I22" s="201"/>
      <x:c r="J22" s="200" t="n">
        <x:v>2865</x:v>
      </x:c>
      <x:c r="K22" s="200" t="n">
        <x:v>34</x:v>
      </x:c>
      <x:c r="L22" s="200" t="n">
        <x:v>190</x:v>
      </x:c>
      <x:c r="M22" s="200" t="n">
        <x:v>397</x:v>
      </x:c>
      <x:c r="N22" s="200" t="n">
        <x:f>IF(COUNTA(J22:M22)=0,"",SUM(J22:M22))</x:f>
        <x:v>3486</x:v>
      </x:c>
      <x:c r="O22" s="201" t="n">
        <x:f>IF(N22="","",IFERROR(N22/H22,""))</x:f>
        <x:v>0.020602836879432623</x:v>
      </x:c>
      <x:c r="P22" s="198" t="str">
        <x:v>Early reaction to a high-curiosity story</x:v>
      </x:c>
      <x:c r="Q22" s="198" t="str">
        <x:v>Keep trend reactions short and publish within 24 hours</x:v>
      </x:c>
      <x:c r="R22" s="198" t="str">
        <x:v>https://www.tiktok.com/@equacast/video/7223106110801333550</x:v>
      </x:c>
    </x:row>
    <x:row r="23">
      <x:c r="A23" s="198" t="str">
        <x:v>Recent</x:v>
      </x:c>
      <x:c r="B23" s="199"/>
      <x:c r="C23" s="198" t="str">
        <x:v>TikTok</x:v>
      </x:c>
      <x:c r="D23" s="198" t="str">
        <x:v>Attack on Titan GOAT</x:v>
      </x:c>
      <x:c r="E23" s="198" t="str">
        <x:v>Anime</x:v>
      </x:c>
      <x:c r="F23" s="198" t="str">
        <x:v>Is Attack on Titan actually the greatest show ever made?</x:v>
      </x:c>
      <x:c r="G23" s="198" t="str">
        <x:v>Provocative debate</x:v>
      </x:c>
      <x:c r="H23" s="200" t="n">
        <x:v>15000</x:v>
      </x:c>
      <x:c r="I23" s="201"/>
      <x:c r="J23" s="200"/>
      <x:c r="K23" s="200"/>
      <x:c r="L23" s="200"/>
      <x:c r="M23" s="200"/>
      <x:c r="N23" s="200" t="str">
        <x:f>IF(COUNTA(J23:M23)=0,"",SUM(J23:M23))</x:f>
      </x:c>
      <x:c r="O23" s="201" t="str">
        <x:f>IF(N23="","",IFERROR(N23/H23,""))</x:f>
      </x:c>
      <x:c r="P23" s="198" t="str">
        <x:v>Recognizable visual, bold claim, simple disagreement</x:v>
      </x:c>
      <x:c r="Q23" s="198" t="str">
        <x:v>Build a recurring Anime Court series</x:v>
      </x:c>
      <x:c r="R23" s="198" t="str">
        <x:v>https://www.tiktok.com/@equacast/video/7621268522794044703</x:v>
      </x:c>
    </x:row>
    <x:row r="24">
      <x:c r="A24" s="198" t="str">
        <x:v>Recent</x:v>
      </x:c>
      <x:c r="B24" s="199"/>
      <x:c r="C24" s="198" t="str">
        <x:v>Instagram</x:v>
      </x:c>
      <x:c r="D24" s="198" t="str">
        <x:v>Bleach: This Is Your Sign</x:v>
      </x:c>
      <x:c r="E24" s="198" t="str">
        <x:v>Anime</x:v>
      </x:c>
      <x:c r="F24" s="198" t="str">
        <x:v>If you skipped Bleach, this is your sign</x:v>
      </x:c>
      <x:c r="G24" s="198" t="str">
        <x:v>Recommendation / challenge</x:v>
      </x:c>
      <x:c r="H24" s="200" t="n">
        <x:v>34600</x:v>
      </x:c>
      <x:c r="I24" s="201"/>
      <x:c r="J24" s="200"/>
      <x:c r="K24" s="200"/>
      <x:c r="L24" s="200"/>
      <x:c r="M24" s="200"/>
      <x:c r="N24" s="200" t="str">
        <x:f>IF(COUNTA(J24:M24)=0,"",SUM(J24:M24))</x:f>
      </x:c>
      <x:c r="O24" s="201" t="str">
        <x:f>IF(N24="","",IFERROR(N24/H24,""))</x:f>
      </x:c>
      <x:c r="P24" s="198" t="str">
        <x:v>Strong fandom identity and clear promise</x:v>
      </x:c>
      <x:c r="Q24" s="198" t="str">
        <x:v>Create a repeatable 'This Is Your Sign' franchise</x:v>
      </x:c>
      <x:c r="R24" s="198" t="str">
        <x:v>https://www.instagram.com/equacast/reel/DTTHK8CgFou/</x:v>
      </x:c>
    </x:row>
    <x:row r="25">
      <x:c r="A25" s="198" t="str">
        <x:v>Recent</x:v>
      </x:c>
      <x:c r="B25" s="199"/>
      <x:c r="C25" s="198" t="str">
        <x:v>Instagram</x:v>
      </x:c>
      <x:c r="D25" s="198" t="str">
        <x:v>Zoro vs Kenpachi</x:v>
      </x:c>
      <x:c r="E25" s="198" t="str">
        <x:v>Anime</x:v>
      </x:c>
      <x:c r="F25" s="198" t="str">
        <x:v>Zoro vs Kenpachi: who wins?</x:v>
      </x:c>
      <x:c r="G25" s="198" t="str">
        <x:v>Versus debate</x:v>
      </x:c>
      <x:c r="H25" s="200" t="n">
        <x:v>16000</x:v>
      </x:c>
      <x:c r="I25" s="201"/>
      <x:c r="J25" s="200"/>
      <x:c r="K25" s="200"/>
      <x:c r="L25" s="200"/>
      <x:c r="M25" s="200"/>
      <x:c r="N25" s="200" t="str">
        <x:f>IF(COUNTA(J25:M25)=0,"",SUM(J25:M25))</x:f>
      </x:c>
      <x:c r="O25" s="201" t="str">
        <x:f>IF(N25="","",IFERROR(N25/H25,""))</x:f>
      </x:c>
      <x:c r="P25" s="198" t="str">
        <x:v>Binary choice with passionate fandoms</x:v>
      </x:c>
      <x:c r="Q25" s="198" t="str">
        <x:v>Show each host's pick in the opening three seconds</x:v>
      </x:c>
      <x:c r="R25" s="198" t="str">
        <x:v>https://www.instagram.com/equacast/reel/DFG41mZu9ux/</x:v>
      </x:c>
    </x:row>
    <x:row r="26">
      <x:c r="A26" s="198" t="str">
        <x:v>Recent</x:v>
      </x:c>
      <x:c r="B26" s="199" t="n">
        <x:v>46143</x:v>
      </x:c>
      <x:c r="C26" s="198" t="str">
        <x:v>Instagram</x:v>
      </x:c>
      <x:c r="D26" s="198" t="str">
        <x:v>J. Cole Big 3</x:v>
      </x:c>
      <x:c r="E26" s="198" t="str">
        <x:v>Hip-Hop</x:v>
      </x:c>
      <x:c r="F26" s="198" t="str">
        <x:v>Did J. Cole remove himself from the Big 3?</x:v>
      </x:c>
      <x:c r="G26" s="198" t="str">
        <x:v>Debate</x:v>
      </x:c>
      <x:c r="H26" s="200" t="n">
        <x:v>8629</x:v>
      </x:c>
      <x:c r="I26" s="201"/>
      <x:c r="J26" s="200"/>
      <x:c r="K26" s="200"/>
      <x:c r="L26" s="200"/>
      <x:c r="M26" s="200"/>
      <x:c r="N26" s="200" t="str">
        <x:f>IF(COUNTA(J26:M26)=0,"",SUM(J26:M26))</x:f>
      </x:c>
      <x:c r="O26" s="201" t="str">
        <x:f>IF(N26="","",IFERROR(N26/H26,""))</x:f>
      </x:c>
      <x:c r="P26" s="198" t="str">
        <x:v>Clear cultural disagreement</x:v>
      </x:c>
      <x:c r="Q26" s="198" t="str">
        <x:v>Shorten the setup and name the opposing positions</x:v>
      </x:c>
      <x:c r="R26" s="198" t="str">
        <x:v>https://www.instagram.com/equacast/reel/DXz-cfOgPyr/</x:v>
      </x:c>
    </x:row>
    <x:row r="27">
      <x:c r="A27" s="198" t="str">
        <x:v>Recent</x:v>
      </x:c>
      <x:c r="B27" s="199" t="n">
        <x:v>46179</x:v>
      </x:c>
      <x:c r="C27" s="198" t="str">
        <x:v>TikTok</x:v>
      </x:c>
      <x:c r="D27" s="198" t="str">
        <x:v>Drake vs Michael Jackson</x:v>
      </x:c>
      <x:c r="E27" s="198" t="str">
        <x:v>Hip-Hop</x:v>
      </x:c>
      <x:c r="F27" s="198" t="str">
        <x:v>More #1 hits: does that put Drake over Michael Jackson?</x:v>
      </x:c>
      <x:c r="G27" s="198" t="str">
        <x:v>Podcast reaction</x:v>
      </x:c>
      <x:c r="H27" s="200" t="n">
        <x:v>725</x:v>
      </x:c>
      <x:c r="I27" s="201"/>
      <x:c r="J27" s="200" t="n">
        <x:v>45</x:v>
      </x:c>
      <x:c r="K27" s="200" t="n">
        <x:v>23</x:v>
      </x:c>
      <x:c r="L27" s="200" t="n">
        <x:v>4</x:v>
      </x:c>
      <x:c r="M27" s="200" t="n">
        <x:v>6</x:v>
      </x:c>
      <x:c r="N27" s="200" t="n">
        <x:f>IF(COUNTA(J27:M27)=0,"",SUM(J27:M27))</x:f>
        <x:v>78</x:v>
      </x:c>
      <x:c r="O27" s="201" t="n">
        <x:f>IF(N27="","",IFERROR(N27/H27,""))</x:f>
        <x:v>0.10758620689655173</x:v>
      </x:c>
      <x:c r="P27" s="198" t="str">
        <x:v>Good comment rate from a provocative comparison</x:v>
      </x:c>
      <x:c r="Q27" s="198" t="str">
        <x:v>Open with the question; current clip begins mid-argument and runs 1:39</x:v>
      </x:c>
      <x:c r="R27" s="198" t="str">
        <x:v>https://www.tiktok.com/@equacast/video/7648312588534598943</x:v>
      </x:c>
    </x:row>
    <x:row r="28">
      <x:c r="A28" s="198" t="str">
        <x:v>Recent</x:v>
      </x:c>
      <x:c r="B28" s="199" t="n">
        <x:v>46179</x:v>
      </x:c>
      <x:c r="C28" s="198" t="str">
        <x:v>Instagram</x:v>
      </x:c>
      <x:c r="D28" s="198" t="str">
        <x:v>Drake vs Michael Jackson</x:v>
      </x:c>
      <x:c r="E28" s="198" t="str">
        <x:v>Hip-Hop</x:v>
      </x:c>
      <x:c r="F28" s="198" t="str">
        <x:v>More #1 hits: does that put Drake over Michael Jackson?</x:v>
      </x:c>
      <x:c r="G28" s="198" t="str">
        <x:v>Podcast reaction</x:v>
      </x:c>
      <x:c r="H28" s="200" t="n">
        <x:v>2631</x:v>
      </x:c>
      <x:c r="I28" s="201"/>
      <x:c r="J28" s="200"/>
      <x:c r="K28" s="200"/>
      <x:c r="L28" s="200"/>
      <x:c r="M28" s="200"/>
      <x:c r="N28" s="200" t="str">
        <x:f>IF(COUNTA(J28:M28)=0,"",SUM(J28:M28))</x:f>
      </x:c>
      <x:c r="O28" s="201" t="str">
        <x:f>IF(N28="","",IFERROR(N28/H28,""))</x:f>
      </x:c>
      <x:c r="P28" s="198" t="str">
        <x:v>Instagram gave the same clip wider reach</x:v>
      </x:c>
      <x:c r="Q28" s="198" t="str">
        <x:v>Use a consistent thumbnail label across platforms</x:v>
      </x:c>
      <x:c r="R28" s="198" t="str">
        <x:v>https://www.instagram.com/equacast/reel/DZP_-V8ArkB/</x:v>
      </x:c>
    </x:row>
    <x:row r="29">
      <x:c r="A29" s="198" t="str">
        <x:v>Recent</x:v>
      </x:c>
      <x:c r="B29" s="199" t="n">
        <x:v>46179</x:v>
      </x:c>
      <x:c r="C29" s="198" t="str">
        <x:v>YouTube</x:v>
      </x:c>
      <x:c r="D29" s="198" t="str">
        <x:v>Drake vs Michael Jackson</x:v>
      </x:c>
      <x:c r="E29" s="198" t="str">
        <x:v>Hip-Hop</x:v>
      </x:c>
      <x:c r="F29" s="198" t="str">
        <x:v>More #1 hits: does that put Drake over Michael Jackson?</x:v>
      </x:c>
      <x:c r="G29" s="198" t="str">
        <x:v>Short</x:v>
      </x:c>
      <x:c r="H29" s="200" t="n">
        <x:v>788</x:v>
      </x:c>
      <x:c r="I29" s="201" t="n">
        <x:v>0.337</x:v>
      </x:c>
      <x:c r="J29" s="200" t="n">
        <x:v>15</x:v>
      </x:c>
      <x:c r="K29" s="200" t="n">
        <x:v>5</x:v>
      </x:c>
      <x:c r="L29" s="200"/>
      <x:c r="M29" s="200"/>
      <x:c r="N29" s="200" t="n">
        <x:f>IF(COUNTA(J29:M29)=0,"",SUM(J29:M29))</x:f>
        <x:v>20</x:v>
      </x:c>
      <x:c r="O29" s="201" t="n">
        <x:f>IF(N29="","",IFERROR(N29/H29,""))</x:f>
        <x:v>0.025380710659898477</x:v>
      </x:c>
      <x:c r="P29" s="198" t="str">
        <x:v>Typical reach, active comments</x:v>
      </x:c>
      <x:c r="Q29" s="198" t="str">
        <x:v>Retention is below the channel's typical 47.4%-55.7%; cut faster</x:v>
      </x:c>
      <x:c r="R29" s="198" t="str">
        <x:v>https://www.youtube.com/shorts/omXNBDepAGw</x:v>
      </x:c>
    </x:row>
    <x:row r="30">
      <x:c r="A30" s="198" t="str">
        <x:v>Recent</x:v>
      </x:c>
      <x:c r="B30" s="199" t="n">
        <x:v>46178</x:v>
      </x:c>
      <x:c r="C30" s="198" t="str">
        <x:v>TikTok</x:v>
      </x:c>
      <x:c r="D30" s="198" t="str">
        <x:v>Drake Iceman</x:v>
      </x:c>
      <x:c r="E30" s="198" t="str">
        <x:v>Hip-Hop</x:v>
      </x:c>
      <x:c r="F30" s="198" t="str">
        <x:v>Is Iceman Drake's best project since CLB?</x:v>
      </x:c>
      <x:c r="G30" s="198" t="str">
        <x:v>Podcast reaction</x:v>
      </x:c>
      <x:c r="H30" s="200" t="n">
        <x:v>675</x:v>
      </x:c>
      <x:c r="I30" s="201"/>
      <x:c r="J30" s="200"/>
      <x:c r="K30" s="200"/>
      <x:c r="L30" s="200"/>
      <x:c r="M30" s="200"/>
      <x:c r="N30" s="200" t="str">
        <x:f>IF(COUNTA(J30:M30)=0,"",SUM(J30:M30))</x:f>
      </x:c>
      <x:c r="O30" s="201" t="str">
        <x:f>IF(N30="","",IFERROR(N30/H30,""))</x:f>
      </x:c>
      <x:c r="P30" s="198" t="str">
        <x:v>Timely release discussion</x:v>
      </x:c>
      <x:c r="Q30" s="198" t="str">
        <x:v>Replace 'our thoughts' with a viewer-facing choice</x:v>
      </x:c>
      <x:c r="R30" s="198" t="str">
        <x:v>https://www.tiktok.com/@equacast/video/7648043709086453023</x:v>
      </x:c>
    </x:row>
    <x:row r="31">
      <x:c r="A31" s="198" t="str">
        <x:v>Recent</x:v>
      </x:c>
      <x:c r="B31" s="199" t="n">
        <x:v>46178</x:v>
      </x:c>
      <x:c r="C31" s="198" t="str">
        <x:v>Instagram</x:v>
      </x:c>
      <x:c r="D31" s="198" t="str">
        <x:v>Drake Iceman</x:v>
      </x:c>
      <x:c r="E31" s="198" t="str">
        <x:v>Hip-Hop</x:v>
      </x:c>
      <x:c r="F31" s="198" t="str">
        <x:v>Is Iceman Drake's best project since CLB?</x:v>
      </x:c>
      <x:c r="G31" s="198" t="str">
        <x:v>Podcast reaction</x:v>
      </x:c>
      <x:c r="H31" s="200" t="n">
        <x:v>1994</x:v>
      </x:c>
      <x:c r="I31" s="201"/>
      <x:c r="J31" s="200"/>
      <x:c r="K31" s="200"/>
      <x:c r="L31" s="200"/>
      <x:c r="M31" s="200"/>
      <x:c r="N31" s="200" t="str">
        <x:f>IF(COUNTA(J31:M31)=0,"",SUM(J31:M31))</x:f>
      </x:c>
      <x:c r="O31" s="201" t="str">
        <x:f>IF(N31="","",IFERROR(N31/H31,""))</x:f>
      </x:c>
      <x:c r="P31" s="198" t="str">
        <x:v>Instagram again exceeded TikTok reach</x:v>
      </x:c>
      <x:c r="Q31" s="198" t="str">
        <x:v>Add a stronger first-frame verdict</x:v>
      </x:c>
      <x:c r="R31" s="198" t="str">
        <x:v>https://www.instagram.com/equacast/reel/DZOJJrBRGB5/</x:v>
      </x:c>
    </x:row>
    <x:row r="32">
      <x:c r="A32" s="198" t="str">
        <x:v>Recent</x:v>
      </x:c>
      <x:c r="B32" s="199" t="n">
        <x:v>46178</x:v>
      </x:c>
      <x:c r="C32" s="198" t="str">
        <x:v>YouTube</x:v>
      </x:c>
      <x:c r="D32" s="198" t="str">
        <x:v>Drake Iceman</x:v>
      </x:c>
      <x:c r="E32" s="198" t="str">
        <x:v>Hip-Hop</x:v>
      </x:c>
      <x:c r="F32" s="198" t="str">
        <x:v>Is Iceman Drake's best project since CLB?</x:v>
      </x:c>
      <x:c r="G32" s="198" t="str">
        <x:v>Short</x:v>
      </x:c>
      <x:c r="H32" s="200" t="n">
        <x:v>1090</x:v>
      </x:c>
      <x:c r="I32" s="201" t="n">
        <x:v>0.442</x:v>
      </x:c>
      <x:c r="J32" s="200" t="n">
        <x:v>14</x:v>
      </x:c>
      <x:c r="K32" s="200" t="n">
        <x:v>0</x:v>
      </x:c>
      <x:c r="L32" s="200"/>
      <x:c r="M32" s="200"/>
      <x:c r="N32" s="200" t="n">
        <x:f>IF(COUNTA(J32:M32)=0,"",SUM(J32:M32))</x:f>
        <x:v>14</x:v>
      </x:c>
      <x:c r="O32" s="201" t="n">
        <x:f>IF(N32="","",IFERROR(N32/H32,""))</x:f>
        <x:v>0.012844036697247707</x:v>
      </x:c>
      <x:c r="P32" s="198" t="str">
        <x:v>Solid cross-platform baseline</x:v>
      </x:c>
      <x:c r="Q32" s="198" t="str">
        <x:v>Tighten toward 50%+ average viewed</x:v>
      </x:c>
      <x:c r="R32" s="198" t="str">
        <x:v>https://www.youtube.com/shorts/tIT2z4kgmvM</x:v>
      </x:c>
    </x:row>
    <x:row r="33">
      <x:c r="A33" s="198" t="str">
        <x:v>Recent</x:v>
      </x:c>
      <x:c r="B33" s="199" t="n">
        <x:v>46178</x:v>
      </x:c>
      <x:c r="C33" s="198" t="str">
        <x:v>YouTube</x:v>
      </x:c>
      <x:c r="D33" s="198" t="str">
        <x:v>Ken Carson Flowers</x:v>
      </x:c>
      <x:c r="E33" s="198" t="str">
        <x:v>Hip-Hop</x:v>
      </x:c>
      <x:c r="F33" s="198" t="str">
        <x:v>Ken Carson replacing NBA YoungBoy: upgrade or downgrade?</x:v>
      </x:c>
      <x:c r="G33" s="198" t="str">
        <x:v>Short</x:v>
      </x:c>
      <x:c r="H33" s="200" t="n">
        <x:v>978</x:v>
      </x:c>
      <x:c r="I33" s="201" t="n">
        <x:v>0.386</x:v>
      </x:c>
      <x:c r="J33" s="200" t="n">
        <x:v>31</x:v>
      </x:c>
      <x:c r="K33" s="200" t="n">
        <x:v>1</x:v>
      </x:c>
      <x:c r="L33" s="200"/>
      <x:c r="M33" s="200"/>
      <x:c r="N33" s="200" t="n">
        <x:f>IF(COUNTA(J33:M33)=0,"",SUM(J33:M33))</x:f>
        <x:v>32</x:v>
      </x:c>
      <x:c r="O33" s="201" t="n">
        <x:f>IF(N33="","",IFERROR(N33/H33,""))</x:f>
        <x:v>0.032719836400818</x:v>
      </x:c>
      <x:c r="P33" s="198" t="str">
        <x:v>Specific artist/news hook</x:v>
      </x:c>
      <x:c r="Q33" s="198" t="str">
        <x:v>Use the sharper upgrade-or-downgrade framing</x:v>
      </x:c>
      <x:c r="R33" s="198" t="str">
        <x:v>https://www.youtube.com/shorts/GHNLLnj6Mko</x:v>
      </x:c>
    </x:row>
    <x:row r="34">
      <x:c r="A34" s="202" t="str">
        <x:v>Recent</x:v>
      </x:c>
      <x:c r="B34" s="203" t="n">
        <x:v>46175</x:v>
      </x:c>
      <x:c r="C34" s="202" t="str">
        <x:v>YouTube</x:v>
      </x:c>
      <x:c r="D34" s="202" t="str">
        <x:v>Knicks in 4</x:v>
      </x:c>
      <x:c r="E34" s="202" t="str">
        <x:v>Sports</x:v>
      </x:c>
      <x:c r="F34" s="202" t="str">
        <x:v>Knicks in four: where does this team rank in NY history?</x:v>
      </x:c>
      <x:c r="G34" s="202" t="str">
        <x:v>Short</x:v>
      </x:c>
      <x:c r="H34" s="204" t="n">
        <x:v>1189</x:v>
      </x:c>
      <x:c r="I34" s="205" t="n">
        <x:v>0.604</x:v>
      </x:c>
      <x:c r="J34" s="204" t="n">
        <x:v>31</x:v>
      </x:c>
      <x:c r="K34" s="204" t="n">
        <x:v>5</x:v>
      </x:c>
      <x:c r="L34" s="204"/>
      <x:c r="M34" s="204"/>
      <x:c r="N34" s="204" t="n">
        <x:f>IF(COUNTA(J34:M34)=0,"",SUM(J34:M34))</x:f>
        <x:v>36</x:v>
      </x:c>
      <x:c r="O34" s="205" t="n">
        <x:f>IF(N34="","",IFERROR(N34/H34,""))</x:f>
        <x:v>0.030277544154751892</x:v>
      </x:c>
      <x:c r="P34" s="202" t="str">
        <x:v>Best recent retention; strong local identity</x:v>
      </x:c>
      <x:c r="Q34" s="202" t="str">
        <x:v>Build a recurring NY Culture / Knicks segment</x:v>
      </x:c>
      <x:c r="R34" s="202" t="str">
        <x:v>https://www.youtube.com/shorts/UhnRo3WCMG8</x:v>
      </x:c>
    </x:row>
  </x:sheetData>
  <x:mergeCells>
    <x:mergeCell ref="A1:R1"/>
    <x:mergeCell ref="A2:R2"/>
    <x:mergeCell ref="A4:R4"/>
    <x:mergeCell ref="A16:R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5" hidden="0" customWidth="1"/>
    <x:col min="4" max="4" width="28" hidden="0" customWidth="1"/>
    <x:col min="5" max="5" width="30" hidden="0" customWidth="1"/>
    <x:col min="6" max="6" width="42" hidden="0" customWidth="1"/>
    <x:col min="7" max="7" width="20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5" hidden="0" customWidth="1"/>
    <x:col min="13" max="13" width="15" hidden="0" customWidth="1"/>
    <x:col min="14" max="14" width="14" hidden="0" customWidth="1"/>
    <x:col min="15" max="15" width="38" hidden="0" customWidth="1"/>
  </x:cols>
  <x:sheetData>
    <x:row r="1" ht="32" customHeight="1">
      <x:c r="A1" s="180" t="str">
        <x:v>TOPIC INBOX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</x:row>
    <x:row r="2" ht="22" customHeight="1">
      <x:c r="A2" s="181" t="str">
        <x:v>Drop ideas here all week. Score on Thursday before recording: Freshness + Tension + Recognition + Participation.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</x:row>
    <x:row r="3">
      <x:c r="A3" s="182"/>
      <x:c r="B3" s="182"/>
      <x:c r="C3" s="182"/>
      <x:c r="D3" s="182"/>
      <x:c r="E3" s="182"/>
      <x:c r="F3" s="182"/>
      <x:c r="G3" s="182"/>
      <x:c r="H3" s="182"/>
      <x:c r="I3" s="182"/>
      <x:c r="J3" s="182"/>
      <x:c r="K3" s="182"/>
      <x:c r="L3" s="182"/>
      <x:c r="M3" s="182"/>
      <x:c r="N3" s="182"/>
      <x:c r="O3" s="182"/>
    </x:row>
    <x:row r="4" ht="30" customHeight="1">
      <x:c r="A4" s="184" t="str">
        <x:v>Added</x:v>
      </x:c>
      <x:c r="B4" s="185" t="str">
        <x:v>Owner</x:v>
      </x:c>
      <x:c r="C4" s="185" t="str">
        <x:v>Pillar</x:v>
      </x:c>
      <x:c r="D4" s="185" t="str">
        <x:v>Topic</x:v>
      </x:c>
      <x:c r="E4" s="185" t="str">
        <x:v>Why Now / Source</x:v>
      </x:c>
      <x:c r="F4" s="185" t="str">
        <x:v>Hook Draft</x:v>
      </x:c>
      <x:c r="G4" s="185" t="str">
        <x:v>Format</x:v>
      </x:c>
      <x:c r="H4" s="185" t="str">
        <x:v>Freshness</x:v>
      </x:c>
      <x:c r="I4" s="185" t="str">
        <x:v>Opinion Tension</x:v>
      </x:c>
      <x:c r="J4" s="185" t="str">
        <x:v>Recognition</x:v>
      </x:c>
      <x:c r="K4" s="185" t="str">
        <x:v>Participation</x:v>
      </x:c>
      <x:c r="L4" s="185" t="str">
        <x:v>Total Score</x:v>
      </x:c>
      <x:c r="M4" s="185" t="str">
        <x:v>Recommendation</x:v>
      </x:c>
      <x:c r="N4" s="185" t="str">
        <x:v>Status</x:v>
      </x:c>
      <x:c r="O4" s="186" t="str">
        <x:v>Source URL</x:v>
      </x:c>
    </x:row>
    <x:row r="5">
      <x:c r="A5" s="206" t="n">
        <x:v>46201</x:v>
      </x:c>
      <x:c r="B5" s="207" t="str">
        <x:v>Both</x:v>
      </x:c>
      <x:c r="C5" s="207" t="str">
        <x:v>Lifestyle</x:v>
      </x:c>
      <x:c r="D5" s="207" t="str">
        <x:v>Worst work schedule</x:v>
      </x:c>
      <x:c r="E5" s="207" t="str">
        <x:v>Proven 2.3M format</x:v>
      </x:c>
      <x:c r="F5" s="207" t="str">
        <x:v>Which is worse: the 6 a.m. shift or overnight?</x:v>
      </x:c>
      <x:c r="G5" s="207" t="str">
        <x:v>Pick a Side</x:v>
      </x:c>
      <x:c r="H5" s="207" t="n">
        <x:v>3</x:v>
      </x:c>
      <x:c r="I5" s="207" t="n">
        <x:v>4</x:v>
      </x:c>
      <x:c r="J5" s="207" t="n">
        <x:v>5</x:v>
      </x:c>
      <x:c r="K5" s="207" t="n">
        <x:v>5</x:v>
      </x:c>
      <x:c r="L5" s="207" t="n">
        <x:f>IF(COUNTA(H5:K5)=0,"",SUM(H5:K5))</x:f>
        <x:v>17</x:v>
      </x:c>
      <x:c r="M5" s="207" t="str">
        <x:f>IF(L5="","",IF(L5&gt;=16,"RECORD",IF(L5&gt;=12,"CONSIDER","PARK")))</x:f>
        <x:v>RECORD</x:v>
      </x:c>
      <x:c r="N5" s="207" t="str">
        <x:v>Shortlisted</x:v>
      </x:c>
      <x:c r="O5" s="207" t="str"/>
    </x:row>
    <x:row r="6">
      <x:c r="A6" s="206" t="n">
        <x:v>46201</x:v>
      </x:c>
      <x:c r="B6" s="207" t="str">
        <x:v>Both</x:v>
      </x:c>
      <x:c r="C6" s="207" t="str">
        <x:v>Anime</x:v>
      </x:c>
      <x:c r="D6" s="207" t="str">
        <x:v>Anime couple bracket</x:v>
      </x:c>
      <x:c r="E6" s="207" t="str">
        <x:v>Expands beyond battle debates</x:v>
      </x:c>
      <x:c r="F6" s="207" t="str">
        <x:v>Which anime couple would actually survive real life?</x:v>
      </x:c>
      <x:c r="G6" s="207" t="str">
        <x:v>Culture Court</x:v>
      </x:c>
      <x:c r="H6" s="207" t="n">
        <x:v>3</x:v>
      </x:c>
      <x:c r="I6" s="207" t="n">
        <x:v>4</x:v>
      </x:c>
      <x:c r="J6" s="207" t="n">
        <x:v>5</x:v>
      </x:c>
      <x:c r="K6" s="207" t="n">
        <x:v>5</x:v>
      </x:c>
      <x:c r="L6" s="207" t="n">
        <x:f>IF(COUNTA(H6:K6)=0,"",SUM(H6:K6))</x:f>
        <x:v>17</x:v>
      </x:c>
      <x:c r="M6" s="207" t="str">
        <x:f>IF(L6="","",IF(L6&gt;=16,"RECORD",IF(L6&gt;=12,"CONSIDER","PARK")))</x:f>
        <x:v>RECORD</x:v>
      </x:c>
      <x:c r="N6" s="207" t="str">
        <x:v>Research</x:v>
      </x:c>
      <x:c r="O6" s="207" t="str"/>
    </x:row>
    <x:row r="7">
      <x:c r="A7" s="206" t="n">
        <x:v>46201</x:v>
      </x:c>
      <x:c r="B7" s="207" t="str">
        <x:v>Both</x:v>
      </x:c>
      <x:c r="C7" s="207" t="str">
        <x:v>Concerts</x:v>
      </x:c>
      <x:c r="D7" s="207" t="str">
        <x:v>Best live performer</x:v>
      </x:c>
      <x:c r="E7" s="207" t="str">
        <x:v>Core interest + broad participation</x:v>
      </x:c>
      <x:c r="F7" s="207" t="str">
        <x:v>You get one concert ticket: Bad Bunny, Drake, or Travis?</x:v>
      </x:c>
      <x:c r="G7" s="207" t="str">
        <x:v>Pick a Side</x:v>
      </x:c>
      <x:c r="H7" s="207" t="n">
        <x:v>4</x:v>
      </x:c>
      <x:c r="I7" s="207" t="n">
        <x:v>5</x:v>
      </x:c>
      <x:c r="J7" s="207" t="n">
        <x:v>5</x:v>
      </x:c>
      <x:c r="K7" s="207" t="n">
        <x:v>5</x:v>
      </x:c>
      <x:c r="L7" s="207" t="n">
        <x:f>IF(COUNTA(H7:K7)=0,"",SUM(H7:K7))</x:f>
        <x:v>19</x:v>
      </x:c>
      <x:c r="M7" s="207" t="str">
        <x:f>IF(L7="","",IF(L7&gt;=16,"RECORD",IF(L7&gt;=12,"CONSIDER","PARK")))</x:f>
        <x:v>RECORD</x:v>
      </x:c>
      <x:c r="N7" s="207" t="str">
        <x:v>Shortlisted</x:v>
      </x:c>
      <x:c r="O7" s="207" t="str"/>
    </x:row>
    <x:row r="8">
      <x:c r="A8" s="206" t="n">
        <x:v>46201</x:v>
      </x:c>
      <x:c r="B8" s="207" t="str">
        <x:v>Chris</x:v>
      </x:c>
      <x:c r="C8" s="207" t="str">
        <x:v>Anime</x:v>
      </x:c>
      <x:c r="D8" s="207" t="str">
        <x:v>Best-written woman in anime</x:v>
      </x:c>
      <x:c r="E8" s="207" t="str">
        <x:v>Adds wider perspective authentically</x:v>
      </x:c>
      <x:c r="F8" s="207" t="str">
        <x:v>Who is the best-written woman in anime—and don't say it without proof</x:v>
      </x:c>
      <x:c r="G8" s="207" t="str">
        <x:v>Anime Court</x:v>
      </x:c>
      <x:c r="H8" s="207" t="n">
        <x:v>3</x:v>
      </x:c>
      <x:c r="I8" s="207" t="n">
        <x:v>5</x:v>
      </x:c>
      <x:c r="J8" s="207" t="n">
        <x:v>4</x:v>
      </x:c>
      <x:c r="K8" s="207" t="n">
        <x:v>5</x:v>
      </x:c>
      <x:c r="L8" s="207" t="n">
        <x:f>IF(COUNTA(H8:K8)=0,"",SUM(H8:K8))</x:f>
        <x:v>17</x:v>
      </x:c>
      <x:c r="M8" s="207" t="str">
        <x:f>IF(L8="","",IF(L8&gt;=16,"RECORD",IF(L8&gt;=12,"CONSIDER","PARK")))</x:f>
        <x:v>RECORD</x:v>
      </x:c>
      <x:c r="N8" s="207" t="str">
        <x:v>Research</x:v>
      </x:c>
      <x:c r="O8" s="207" t="str"/>
    </x:row>
    <x:row r="9">
      <x:c r="A9" s="206" t="n">
        <x:v>46201</x:v>
      </x:c>
      <x:c r="B9" s="207" t="str">
        <x:v>6ron</x:v>
      </x:c>
      <x:c r="C9" s="207" t="str">
        <x:v>Hip-Hop</x:v>
      </x:c>
      <x:c r="D9" s="207" t="str">
        <x:v>Replacement artist debate</x:v>
      </x:c>
      <x:c r="E9" s="207" t="str">
        <x:v>Reusable around festivals</x:v>
      </x:c>
      <x:c r="F9" s="207" t="str">
        <x:v>The replacement was announced: upgrade or downgrade?</x:v>
      </x:c>
      <x:c r="G9" s="207" t="str">
        <x:v>Upgrade / Downgrade</x:v>
      </x:c>
      <x:c r="H9" s="207" t="n">
        <x:v>5</x:v>
      </x:c>
      <x:c r="I9" s="207" t="n">
        <x:v>5</x:v>
      </x:c>
      <x:c r="J9" s="207" t="n">
        <x:v>4</x:v>
      </x:c>
      <x:c r="K9" s="207" t="n">
        <x:v>5</x:v>
      </x:c>
      <x:c r="L9" s="207" t="n">
        <x:f>IF(COUNTA(H9:K9)=0,"",SUM(H9:K9))</x:f>
        <x:v>19</x:v>
      </x:c>
      <x:c r="M9" s="207" t="str">
        <x:f>IF(L9="","",IF(L9&gt;=16,"RECORD",IF(L9&gt;=12,"CONSIDER","PARK")))</x:f>
        <x:v>RECORD</x:v>
      </x:c>
      <x:c r="N9" s="207" t="str">
        <x:v>Inbox</x:v>
      </x:c>
      <x:c r="O9" s="207" t="str"/>
    </x:row>
    <x:row r="10">
      <x:c r="A10" s="206" t="n">
        <x:v>46201</x:v>
      </x:c>
      <x:c r="B10" s="207" t="str">
        <x:v>Both</x:v>
      </x:c>
      <x:c r="C10" s="207" t="str">
        <x:v>Anime</x:v>
      </x:c>
      <x:c r="D10" s="207" t="str">
        <x:v>Big 3: one has to go</x:v>
      </x:c>
      <x:c r="E10" s="207" t="str">
        <x:v>Evergreen and familiar</x:v>
      </x:c>
      <x:c r="F10" s="207" t="str">
        <x:v>One has to go forever: Naruto, Bleach, or One Piece</x:v>
      </x:c>
      <x:c r="G10" s="207" t="str">
        <x:v>One Gotta Go</x:v>
      </x:c>
      <x:c r="H10" s="207" t="n">
        <x:v>3</x:v>
      </x:c>
      <x:c r="I10" s="207" t="n">
        <x:v>5</x:v>
      </x:c>
      <x:c r="J10" s="207" t="n">
        <x:v>5</x:v>
      </x:c>
      <x:c r="K10" s="207" t="n">
        <x:v>5</x:v>
      </x:c>
      <x:c r="L10" s="207" t="n">
        <x:f>IF(COUNTA(H10:K10)=0,"",SUM(H10:K10))</x:f>
        <x:v>18</x:v>
      </x:c>
      <x:c r="M10" s="207" t="str">
        <x:f>IF(L10="","",IF(L10&gt;=16,"RECORD",IF(L10&gt;=12,"CONSIDER","PARK")))</x:f>
        <x:v>RECORD</x:v>
      </x:c>
      <x:c r="N10" s="207" t="str">
        <x:v>Inbox</x:v>
      </x:c>
      <x:c r="O10" s="207" t="str"/>
    </x:row>
    <x:row r="11">
      <x:c r="A11" s="206" t="n">
        <x:v>46201</x:v>
      </x:c>
      <x:c r="B11" s="207" t="str">
        <x:v>Both</x:v>
      </x:c>
      <x:c r="C11" s="207" t="str">
        <x:v>Concerts</x:v>
      </x:c>
      <x:c r="D11" s="207" t="str">
        <x:v>Worth the ticket?</x:v>
      </x:c>
      <x:c r="E11" s="207" t="str">
        <x:v>Makes concert coverage repeatable</x:v>
      </x:c>
      <x:c r="F11" s="207" t="str">
        <x:v>The show cost $___—was it actually worth the ticket?</x:v>
      </x:c>
      <x:c r="G11" s="207" t="str">
        <x:v>Worth the Ticket?</x:v>
      </x:c>
      <x:c r="H11" s="207" t="n">
        <x:v>4</x:v>
      </x:c>
      <x:c r="I11" s="207" t="n">
        <x:v>4</x:v>
      </x:c>
      <x:c r="J11" s="207" t="n">
        <x:v>4</x:v>
      </x:c>
      <x:c r="K11" s="207" t="n">
        <x:v>5</x:v>
      </x:c>
      <x:c r="L11" s="207" t="n">
        <x:f>IF(COUNTA(H11:K11)=0,"",SUM(H11:K11))</x:f>
        <x:v>17</x:v>
      </x:c>
      <x:c r="M11" s="207" t="str">
        <x:f>IF(L11="","",IF(L11&gt;=16,"RECORD",IF(L11&gt;=12,"CONSIDER","PARK")))</x:f>
        <x:v>RECORD</x:v>
      </x:c>
      <x:c r="N11" s="207" t="str">
        <x:v>Inbox</x:v>
      </x:c>
      <x:c r="O11" s="207" t="str"/>
    </x:row>
    <x:row r="12">
      <x:c r="A12" s="206" t="n">
        <x:v>46201</x:v>
      </x:c>
      <x:c r="B12" s="207" t="str">
        <x:v>Both</x:v>
      </x:c>
      <x:c r="C12" s="207" t="str">
        <x:v>Hip-Hop</x:v>
      </x:c>
      <x:c r="D12" s="207" t="str">
        <x:v>Hits versus impact</x:v>
      </x:c>
      <x:c r="E12" s="207" t="str">
        <x:v>Builds from Drake/MJ comments</x:v>
      </x:c>
      <x:c r="F12" s="207" t="str">
        <x:v>Do number-one hits matter more than cultural impact?</x:v>
      </x:c>
      <x:c r="G12" s="207" t="str">
        <x:v>Culture Court</x:v>
      </x:c>
      <x:c r="H12" s="207" t="n">
        <x:v>3</x:v>
      </x:c>
      <x:c r="I12" s="207" t="n">
        <x:v>5</x:v>
      </x:c>
      <x:c r="J12" s="207" t="n">
        <x:v>5</x:v>
      </x:c>
      <x:c r="K12" s="207" t="n">
        <x:v>5</x:v>
      </x:c>
      <x:c r="L12" s="207" t="n">
        <x:f>IF(COUNTA(H12:K12)=0,"",SUM(H12:K12))</x:f>
        <x:v>18</x:v>
      </x:c>
      <x:c r="M12" s="207" t="str">
        <x:f>IF(L12="","",IF(L12&gt;=16,"RECORD",IF(L12&gt;=12,"CONSIDER","PARK")))</x:f>
        <x:v>RECORD</x:v>
      </x:c>
      <x:c r="N12" s="207" t="str">
        <x:v>Inbox</x:v>
      </x:c>
      <x:c r="O12" s="207" t="str"/>
    </x:row>
    <x:row r="13">
      <x:c r="A13" s="206" t="n">
        <x:v>46201</x:v>
      </x:c>
      <x:c r="B13" s="207" t="str">
        <x:v>Both</x:v>
      </x:c>
      <x:c r="C13" s="207" t="str">
        <x:v>Community</x:v>
      </x:c>
      <x:c r="D13" s="207" t="str">
        <x:v>Viewer comment of the week</x:v>
      </x:c>
      <x:c r="E13" s="207" t="str">
        <x:v>Creates return behavior</x:v>
      </x:c>
      <x:c r="F13" s="207" t="str">
        <x:v>This comment started an argument in the group chat</x:v>
      </x:c>
      <x:c r="G13" s="207" t="str">
        <x:v>Comment of the Week</x:v>
      </x:c>
      <x:c r="H13" s="207" t="n">
        <x:v>4</x:v>
      </x:c>
      <x:c r="I13" s="207" t="n">
        <x:v>5</x:v>
      </x:c>
      <x:c r="J13" s="207" t="n">
        <x:v>4</x:v>
      </x:c>
      <x:c r="K13" s="207" t="n">
        <x:v>5</x:v>
      </x:c>
      <x:c r="L13" s="207" t="n">
        <x:f>IF(COUNTA(H13:K13)=0,"",SUM(H13:K13))</x:f>
        <x:v>18</x:v>
      </x:c>
      <x:c r="M13" s="207" t="str">
        <x:f>IF(L13="","",IF(L13&gt;=16,"RECORD",IF(L13&gt;=12,"CONSIDER","PARK")))</x:f>
        <x:v>RECORD</x:v>
      </x:c>
      <x:c r="N13" s="207" t="str">
        <x:v>Inbox</x:v>
      </x:c>
      <x:c r="O13" s="207" t="str"/>
    </x:row>
    <x:row r="14">
      <x:c r="A14" s="206" t="n">
        <x:v>46201</x:v>
      </x:c>
      <x:c r="B14" s="207" t="str">
        <x:v>Both</x:v>
      </x:c>
      <x:c r="C14" s="207" t="str">
        <x:v>Pop Culture</x:v>
      </x:c>
      <x:c r="D14" s="207" t="str">
        <x:v>Third Mic guest perspective</x:v>
      </x:c>
      <x:c r="E14" s="207" t="str">
        <x:v>Broader voices and collaboration</x:v>
      </x:c>
      <x:c r="F14" s="207" t="str">
        <x:v>We brought in a third mic because Chris and 6ron couldn't settle this</x:v>
      </x:c>
      <x:c r="G14" s="207" t="str">
        <x:v>Third Mic</x:v>
      </x:c>
      <x:c r="H14" s="207" t="n">
        <x:v>4</x:v>
      </x:c>
      <x:c r="I14" s="207" t="n">
        <x:v>5</x:v>
      </x:c>
      <x:c r="J14" s="207" t="n">
        <x:v>4</x:v>
      </x:c>
      <x:c r="K14" s="207" t="n">
        <x:v>5</x:v>
      </x:c>
      <x:c r="L14" s="207" t="n">
        <x:f>IF(COUNTA(H14:K14)=0,"",SUM(H14:K14))</x:f>
        <x:v>18</x:v>
      </x:c>
      <x:c r="M14" s="207" t="str">
        <x:f>IF(L14="","",IF(L14&gt;=16,"RECORD",IF(L14&gt;=12,"CONSIDER","PARK")))</x:f>
        <x:v>RECORD</x:v>
      </x:c>
      <x:c r="N14" s="207" t="str">
        <x:v>Research</x:v>
      </x:c>
      <x:c r="O14" s="207" t="str"/>
    </x:row>
    <x:row r="15">
      <x:c r="A15" s="208"/>
      <x:c r="B15" s="209"/>
      <x:c r="C15" s="209"/>
      <x:c r="D15" s="209"/>
      <x:c r="E15" s="209"/>
      <x:c r="F15" s="209"/>
      <x:c r="G15" s="209"/>
      <x:c r="H15" s="209"/>
      <x:c r="I15" s="209"/>
      <x:c r="J15" s="209"/>
      <x:c r="K15" s="209"/>
      <x:c r="L15" s="207" t="str">
        <x:f>IF(COUNTA(H15:K15)=0,"",SUM(H15:K15))</x:f>
      </x:c>
      <x:c r="M15" s="207" t="str">
        <x:f>IF(L15="","",IF(L15&gt;=16,"RECORD",IF(L15&gt;=12,"CONSIDER","PARK")))</x:f>
      </x:c>
      <x:c r="N15" s="209"/>
      <x:c r="O15" s="209"/>
    </x:row>
    <x:row r="16">
      <x:c r="A16" s="208"/>
      <x:c r="B16" s="209"/>
      <x:c r="C16" s="209"/>
      <x:c r="D16" s="209"/>
      <x:c r="E16" s="209"/>
      <x:c r="F16" s="209"/>
      <x:c r="G16" s="209"/>
      <x:c r="H16" s="209"/>
      <x:c r="I16" s="209"/>
      <x:c r="J16" s="209"/>
      <x:c r="K16" s="209"/>
      <x:c r="L16" s="207" t="str">
        <x:f>IF(COUNTA(H16:K16)=0,"",SUM(H16:K16))</x:f>
      </x:c>
      <x:c r="M16" s="207" t="str">
        <x:f>IF(L16="","",IF(L16&gt;=16,"RECORD",IF(L16&gt;=12,"CONSIDER","PARK")))</x:f>
      </x:c>
      <x:c r="N16" s="209"/>
      <x:c r="O16" s="209"/>
    </x:row>
    <x:row r="17">
      <x:c r="A17" s="208"/>
      <x:c r="B17" s="209"/>
      <x:c r="C17" s="209"/>
      <x:c r="D17" s="209"/>
      <x:c r="E17" s="209"/>
      <x:c r="F17" s="209"/>
      <x:c r="G17" s="209"/>
      <x:c r="H17" s="209"/>
      <x:c r="I17" s="209"/>
      <x:c r="J17" s="209"/>
      <x:c r="K17" s="209"/>
      <x:c r="L17" s="207" t="str">
        <x:f>IF(COUNTA(H17:K17)=0,"",SUM(H17:K17))</x:f>
      </x:c>
      <x:c r="M17" s="207" t="str">
        <x:f>IF(L17="","",IF(L17&gt;=16,"RECORD",IF(L17&gt;=12,"CONSIDER","PARK")))</x:f>
      </x:c>
      <x:c r="N17" s="209"/>
      <x:c r="O17" s="209"/>
    </x:row>
    <x:row r="18">
      <x:c r="A18" s="208"/>
      <x:c r="B18" s="209"/>
      <x:c r="C18" s="209"/>
      <x:c r="D18" s="209"/>
      <x:c r="E18" s="209"/>
      <x:c r="F18" s="209"/>
      <x:c r="G18" s="209"/>
      <x:c r="H18" s="209"/>
      <x:c r="I18" s="209"/>
      <x:c r="J18" s="209"/>
      <x:c r="K18" s="209"/>
      <x:c r="L18" s="207" t="str">
        <x:f>IF(COUNTA(H18:K18)=0,"",SUM(H18:K18))</x:f>
      </x:c>
      <x:c r="M18" s="207" t="str">
        <x:f>IF(L18="","",IF(L18&gt;=16,"RECORD",IF(L18&gt;=12,"CONSIDER","PARK")))</x:f>
      </x:c>
      <x:c r="N18" s="209"/>
      <x:c r="O18" s="209"/>
    </x:row>
    <x:row r="19">
      <x:c r="A19" s="208"/>
      <x:c r="B19" s="209"/>
      <x:c r="C19" s="209"/>
      <x:c r="D19" s="209"/>
      <x:c r="E19" s="209"/>
      <x:c r="F19" s="209"/>
      <x:c r="G19" s="209"/>
      <x:c r="H19" s="209"/>
      <x:c r="I19" s="209"/>
      <x:c r="J19" s="209"/>
      <x:c r="K19" s="209"/>
      <x:c r="L19" s="207" t="str">
        <x:f>IF(COUNTA(H19:K19)=0,"",SUM(H19:K19))</x:f>
      </x:c>
      <x:c r="M19" s="207" t="str">
        <x:f>IF(L19="","",IF(L19&gt;=16,"RECORD",IF(L19&gt;=12,"CONSIDER","PARK")))</x:f>
      </x:c>
      <x:c r="N19" s="209"/>
      <x:c r="O19" s="209"/>
    </x:row>
    <x:row r="20">
      <x:c r="A20" s="208"/>
      <x:c r="B20" s="209"/>
      <x:c r="C20" s="209"/>
      <x:c r="D20" s="209"/>
      <x:c r="E20" s="209"/>
      <x:c r="F20" s="209"/>
      <x:c r="G20" s="209"/>
      <x:c r="H20" s="209"/>
      <x:c r="I20" s="209"/>
      <x:c r="J20" s="209"/>
      <x:c r="K20" s="209"/>
      <x:c r="L20" s="207" t="str">
        <x:f>IF(COUNTA(H20:K20)=0,"",SUM(H20:K20))</x:f>
      </x:c>
      <x:c r="M20" s="207" t="str">
        <x:f>IF(L20="","",IF(L20&gt;=16,"RECORD",IF(L20&gt;=12,"CONSIDER","PARK")))</x:f>
      </x:c>
      <x:c r="N20" s="209"/>
      <x:c r="O20" s="209"/>
    </x:row>
    <x:row r="21">
      <x:c r="A21" s="208"/>
      <x:c r="B21" s="209"/>
      <x:c r="C21" s="209"/>
      <x:c r="D21" s="209"/>
      <x:c r="E21" s="209"/>
      <x:c r="F21" s="209"/>
      <x:c r="G21" s="209"/>
      <x:c r="H21" s="209"/>
      <x:c r="I21" s="209"/>
      <x:c r="J21" s="209"/>
      <x:c r="K21" s="209"/>
      <x:c r="L21" s="207" t="str">
        <x:f>IF(COUNTA(H21:K21)=0,"",SUM(H21:K21))</x:f>
      </x:c>
      <x:c r="M21" s="207" t="str">
        <x:f>IF(L21="","",IF(L21&gt;=16,"RECORD",IF(L21&gt;=12,"CONSIDER","PARK")))</x:f>
      </x:c>
      <x:c r="N21" s="209"/>
      <x:c r="O21" s="209"/>
    </x:row>
    <x:row r="22">
      <x:c r="A22" s="208"/>
      <x:c r="B22" s="209"/>
      <x:c r="C22" s="209"/>
      <x:c r="D22" s="209"/>
      <x:c r="E22" s="209"/>
      <x:c r="F22" s="209"/>
      <x:c r="G22" s="209"/>
      <x:c r="H22" s="209"/>
      <x:c r="I22" s="209"/>
      <x:c r="J22" s="209"/>
      <x:c r="K22" s="209"/>
      <x:c r="L22" s="207" t="str">
        <x:f>IF(COUNTA(H22:K22)=0,"",SUM(H22:K22))</x:f>
      </x:c>
      <x:c r="M22" s="207" t="str">
        <x:f>IF(L22="","",IF(L22&gt;=16,"RECORD",IF(L22&gt;=12,"CONSIDER","PARK")))</x:f>
      </x:c>
      <x:c r="N22" s="209"/>
      <x:c r="O22" s="209"/>
    </x:row>
    <x:row r="23">
      <x:c r="A23" s="208"/>
      <x:c r="B23" s="209"/>
      <x:c r="C23" s="209"/>
      <x:c r="D23" s="209"/>
      <x:c r="E23" s="209"/>
      <x:c r="F23" s="209"/>
      <x:c r="G23" s="209"/>
      <x:c r="H23" s="209"/>
      <x:c r="I23" s="209"/>
      <x:c r="J23" s="209"/>
      <x:c r="K23" s="209"/>
      <x:c r="L23" s="207" t="str">
        <x:f>IF(COUNTA(H23:K23)=0,"",SUM(H23:K23))</x:f>
      </x:c>
      <x:c r="M23" s="207" t="str">
        <x:f>IF(L23="","",IF(L23&gt;=16,"RECORD",IF(L23&gt;=12,"CONSIDER","PARK")))</x:f>
      </x:c>
      <x:c r="N23" s="209"/>
      <x:c r="O23" s="209"/>
    </x:row>
    <x:row r="24">
      <x:c r="A24" s="208"/>
      <x:c r="B24" s="209"/>
      <x:c r="C24" s="209"/>
      <x:c r="D24" s="209"/>
      <x:c r="E24" s="209"/>
      <x:c r="F24" s="209"/>
      <x:c r="G24" s="209"/>
      <x:c r="H24" s="209"/>
      <x:c r="I24" s="209"/>
      <x:c r="J24" s="209"/>
      <x:c r="K24" s="209"/>
      <x:c r="L24" s="207" t="str">
        <x:f>IF(COUNTA(H24:K24)=0,"",SUM(H24:K24))</x:f>
      </x:c>
      <x:c r="M24" s="207" t="str">
        <x:f>IF(L24="","",IF(L24&gt;=16,"RECORD",IF(L24&gt;=12,"CONSIDER","PARK")))</x:f>
      </x:c>
      <x:c r="N24" s="209"/>
      <x:c r="O24" s="209"/>
    </x:row>
    <x:row r="25">
      <x:c r="A25" s="208"/>
      <x:c r="B25" s="209"/>
      <x:c r="C25" s="209"/>
      <x:c r="D25" s="209"/>
      <x:c r="E25" s="209"/>
      <x:c r="F25" s="209"/>
      <x:c r="G25" s="209"/>
      <x:c r="H25" s="209"/>
      <x:c r="I25" s="209"/>
      <x:c r="J25" s="209"/>
      <x:c r="K25" s="209"/>
      <x:c r="L25" s="207" t="str">
        <x:f>IF(COUNTA(H25:K25)=0,"",SUM(H25:K25))</x:f>
      </x:c>
      <x:c r="M25" s="207" t="str">
        <x:f>IF(L25="","",IF(L25&gt;=16,"RECORD",IF(L25&gt;=12,"CONSIDER","PARK")))</x:f>
      </x:c>
      <x:c r="N25" s="209"/>
      <x:c r="O25" s="209"/>
    </x:row>
    <x:row r="26">
      <x:c r="A26" s="208"/>
      <x:c r="B26" s="209"/>
      <x:c r="C26" s="209"/>
      <x:c r="D26" s="209"/>
      <x:c r="E26" s="209"/>
      <x:c r="F26" s="209"/>
      <x:c r="G26" s="209"/>
      <x:c r="H26" s="209"/>
      <x:c r="I26" s="209"/>
      <x:c r="J26" s="209"/>
      <x:c r="K26" s="209"/>
      <x:c r="L26" s="207" t="str">
        <x:f>IF(COUNTA(H26:K26)=0,"",SUM(H26:K26))</x:f>
      </x:c>
      <x:c r="M26" s="207" t="str">
        <x:f>IF(L26="","",IF(L26&gt;=16,"RECORD",IF(L26&gt;=12,"CONSIDER","PARK")))</x:f>
      </x:c>
      <x:c r="N26" s="209"/>
      <x:c r="O26" s="209"/>
    </x:row>
    <x:row r="27">
      <x:c r="A27" s="208"/>
      <x:c r="B27" s="209"/>
      <x:c r="C27" s="209"/>
      <x:c r="D27" s="209"/>
      <x:c r="E27" s="209"/>
      <x:c r="F27" s="209"/>
      <x:c r="G27" s="209"/>
      <x:c r="H27" s="209"/>
      <x:c r="I27" s="209"/>
      <x:c r="J27" s="209"/>
      <x:c r="K27" s="209"/>
      <x:c r="L27" s="207" t="str">
        <x:f>IF(COUNTA(H27:K27)=0,"",SUM(H27:K27))</x:f>
      </x:c>
      <x:c r="M27" s="207" t="str">
        <x:f>IF(L27="","",IF(L27&gt;=16,"RECORD",IF(L27&gt;=12,"CONSIDER","PARK")))</x:f>
      </x:c>
      <x:c r="N27" s="209"/>
      <x:c r="O27" s="209"/>
    </x:row>
    <x:row r="28">
      <x:c r="A28" s="208"/>
      <x:c r="B28" s="209"/>
      <x:c r="C28" s="209"/>
      <x:c r="D28" s="209"/>
      <x:c r="E28" s="209"/>
      <x:c r="F28" s="209"/>
      <x:c r="G28" s="209"/>
      <x:c r="H28" s="209"/>
      <x:c r="I28" s="209"/>
      <x:c r="J28" s="209"/>
      <x:c r="K28" s="209"/>
      <x:c r="L28" s="207" t="str">
        <x:f>IF(COUNTA(H28:K28)=0,"",SUM(H28:K28))</x:f>
      </x:c>
      <x:c r="M28" s="207" t="str">
        <x:f>IF(L28="","",IF(L28&gt;=16,"RECORD",IF(L28&gt;=12,"CONSIDER","PARK")))</x:f>
      </x:c>
      <x:c r="N28" s="209"/>
      <x:c r="O28" s="209"/>
    </x:row>
    <x:row r="29">
      <x:c r="A29" s="208"/>
      <x:c r="B29" s="209"/>
      <x:c r="C29" s="209"/>
      <x:c r="D29" s="209"/>
      <x:c r="E29" s="209"/>
      <x:c r="F29" s="209"/>
      <x:c r="G29" s="209"/>
      <x:c r="H29" s="209"/>
      <x:c r="I29" s="209"/>
      <x:c r="J29" s="209"/>
      <x:c r="K29" s="209"/>
      <x:c r="L29" s="207" t="str">
        <x:f>IF(COUNTA(H29:K29)=0,"",SUM(H29:K29))</x:f>
      </x:c>
      <x:c r="M29" s="207" t="str">
        <x:f>IF(L29="","",IF(L29&gt;=16,"RECORD",IF(L29&gt;=12,"CONSIDER","PARK")))</x:f>
      </x:c>
      <x:c r="N29" s="209"/>
      <x:c r="O29" s="209"/>
    </x:row>
    <x:row r="30">
      <x:c r="A30" s="208"/>
      <x:c r="B30" s="209"/>
      <x:c r="C30" s="209"/>
      <x:c r="D30" s="209"/>
      <x:c r="E30" s="209"/>
      <x:c r="F30" s="209"/>
      <x:c r="G30" s="209"/>
      <x:c r="H30" s="209"/>
      <x:c r="I30" s="209"/>
      <x:c r="J30" s="209"/>
      <x:c r="K30" s="209"/>
      <x:c r="L30" s="207" t="str">
        <x:f>IF(COUNTA(H30:K30)=0,"",SUM(H30:K30))</x:f>
      </x:c>
      <x:c r="M30" s="207" t="str">
        <x:f>IF(L30="","",IF(L30&gt;=16,"RECORD",IF(L30&gt;=12,"CONSIDER","PARK")))</x:f>
      </x:c>
      <x:c r="N30" s="209"/>
      <x:c r="O30" s="209"/>
    </x:row>
    <x:row r="31">
      <x:c r="A31" s="208"/>
      <x:c r="B31" s="209"/>
      <x:c r="C31" s="209"/>
      <x:c r="D31" s="209"/>
      <x:c r="E31" s="209"/>
      <x:c r="F31" s="209"/>
      <x:c r="G31" s="209"/>
      <x:c r="H31" s="209"/>
      <x:c r="I31" s="209"/>
      <x:c r="J31" s="209"/>
      <x:c r="K31" s="209"/>
      <x:c r="L31" s="207" t="str">
        <x:f>IF(COUNTA(H31:K31)=0,"",SUM(H31:K31))</x:f>
      </x:c>
      <x:c r="M31" s="207" t="str">
        <x:f>IF(L31="","",IF(L31&gt;=16,"RECORD",IF(L31&gt;=12,"CONSIDER","PARK")))</x:f>
      </x:c>
      <x:c r="N31" s="209"/>
      <x:c r="O31" s="209"/>
    </x:row>
    <x:row r="32">
      <x:c r="A32" s="208"/>
      <x:c r="B32" s="209"/>
      <x:c r="C32" s="209"/>
      <x:c r="D32" s="209"/>
      <x:c r="E32" s="209"/>
      <x:c r="F32" s="209"/>
      <x:c r="G32" s="209"/>
      <x:c r="H32" s="209"/>
      <x:c r="I32" s="209"/>
      <x:c r="J32" s="209"/>
      <x:c r="K32" s="209"/>
      <x:c r="L32" s="207" t="str">
        <x:f>IF(COUNTA(H32:K32)=0,"",SUM(H32:K32))</x:f>
      </x:c>
      <x:c r="M32" s="207" t="str">
        <x:f>IF(L32="","",IF(L32&gt;=16,"RECORD",IF(L32&gt;=12,"CONSIDER","PARK")))</x:f>
      </x:c>
      <x:c r="N32" s="209"/>
      <x:c r="O32" s="209"/>
    </x:row>
    <x:row r="33">
      <x:c r="A33" s="208"/>
      <x:c r="B33" s="209"/>
      <x:c r="C33" s="209"/>
      <x:c r="D33" s="209"/>
      <x:c r="E33" s="209"/>
      <x:c r="F33" s="209"/>
      <x:c r="G33" s="209"/>
      <x:c r="H33" s="209"/>
      <x:c r="I33" s="209"/>
      <x:c r="J33" s="209"/>
      <x:c r="K33" s="209"/>
      <x:c r="L33" s="207" t="str">
        <x:f>IF(COUNTA(H33:K33)=0,"",SUM(H33:K33))</x:f>
      </x:c>
      <x:c r="M33" s="207" t="str">
        <x:f>IF(L33="","",IF(L33&gt;=16,"RECORD",IF(L33&gt;=12,"CONSIDER","PARK")))</x:f>
      </x:c>
      <x:c r="N33" s="209"/>
      <x:c r="O33" s="209"/>
    </x:row>
    <x:row r="34">
      <x:c r="A34" s="208"/>
      <x:c r="B34" s="209"/>
      <x:c r="C34" s="209"/>
      <x:c r="D34" s="209"/>
      <x:c r="E34" s="209"/>
      <x:c r="F34" s="209"/>
      <x:c r="G34" s="209"/>
      <x:c r="H34" s="209"/>
      <x:c r="I34" s="209"/>
      <x:c r="J34" s="209"/>
      <x:c r="K34" s="209"/>
      <x:c r="L34" s="207" t="str">
        <x:f>IF(COUNTA(H34:K34)=0,"",SUM(H34:K34))</x:f>
      </x:c>
      <x:c r="M34" s="207" t="str">
        <x:f>IF(L34="","",IF(L34&gt;=16,"RECORD",IF(L34&gt;=12,"CONSIDER","PARK")))</x:f>
      </x:c>
      <x:c r="N34" s="209"/>
      <x:c r="O34" s="209"/>
    </x:row>
    <x:row r="35">
      <x:c r="A35" s="208"/>
      <x:c r="B35" s="209"/>
      <x:c r="C35" s="209"/>
      <x:c r="D35" s="209"/>
      <x:c r="E35" s="209"/>
      <x:c r="F35" s="209"/>
      <x:c r="G35" s="209"/>
      <x:c r="H35" s="209"/>
      <x:c r="I35" s="209"/>
      <x:c r="J35" s="209"/>
      <x:c r="K35" s="209"/>
      <x:c r="L35" s="207" t="str">
        <x:f>IF(COUNTA(H35:K35)=0,"",SUM(H35:K35))</x:f>
      </x:c>
      <x:c r="M35" s="207" t="str">
        <x:f>IF(L35="","",IF(L35&gt;=16,"RECORD",IF(L35&gt;=12,"CONSIDER","PARK")))</x:f>
      </x:c>
      <x:c r="N35" s="209"/>
      <x:c r="O35" s="209"/>
    </x:row>
    <x:row r="36">
      <x:c r="A36" s="208"/>
      <x:c r="B36" s="209"/>
      <x:c r="C36" s="209"/>
      <x:c r="D36" s="209"/>
      <x:c r="E36" s="209"/>
      <x:c r="F36" s="209"/>
      <x:c r="G36" s="209"/>
      <x:c r="H36" s="209"/>
      <x:c r="I36" s="209"/>
      <x:c r="J36" s="209"/>
      <x:c r="K36" s="209"/>
      <x:c r="L36" s="207" t="str">
        <x:f>IF(COUNTA(H36:K36)=0,"",SUM(H36:K36))</x:f>
      </x:c>
      <x:c r="M36" s="207" t="str">
        <x:f>IF(L36="","",IF(L36&gt;=16,"RECORD",IF(L36&gt;=12,"CONSIDER","PARK")))</x:f>
      </x:c>
      <x:c r="N36" s="209"/>
      <x:c r="O36" s="209"/>
    </x:row>
    <x:row r="37">
      <x:c r="A37" s="208"/>
      <x:c r="B37" s="209"/>
      <x:c r="C37" s="209"/>
      <x:c r="D37" s="209"/>
      <x:c r="E37" s="209"/>
      <x:c r="F37" s="209"/>
      <x:c r="G37" s="209"/>
      <x:c r="H37" s="209"/>
      <x:c r="I37" s="209"/>
      <x:c r="J37" s="209"/>
      <x:c r="K37" s="209"/>
      <x:c r="L37" s="207" t="str">
        <x:f>IF(COUNTA(H37:K37)=0,"",SUM(H37:K37))</x:f>
      </x:c>
      <x:c r="M37" s="207" t="str">
        <x:f>IF(L37="","",IF(L37&gt;=16,"RECORD",IF(L37&gt;=12,"CONSIDER","PARK")))</x:f>
      </x:c>
      <x:c r="N37" s="209"/>
      <x:c r="O37" s="209"/>
    </x:row>
    <x:row r="38">
      <x:c r="A38" s="208"/>
      <x:c r="B38" s="209"/>
      <x:c r="C38" s="209"/>
      <x:c r="D38" s="209"/>
      <x:c r="E38" s="209"/>
      <x:c r="F38" s="209"/>
      <x:c r="G38" s="209"/>
      <x:c r="H38" s="209"/>
      <x:c r="I38" s="209"/>
      <x:c r="J38" s="209"/>
      <x:c r="K38" s="209"/>
      <x:c r="L38" s="207" t="str">
        <x:f>IF(COUNTA(H38:K38)=0,"",SUM(H38:K38))</x:f>
      </x:c>
      <x:c r="M38" s="207" t="str">
        <x:f>IF(L38="","",IF(L38&gt;=16,"RECORD",IF(L38&gt;=12,"CONSIDER","PARK")))</x:f>
      </x:c>
      <x:c r="N38" s="209"/>
      <x:c r="O38" s="209"/>
    </x:row>
    <x:row r="39">
      <x:c r="A39" s="208"/>
      <x:c r="B39" s="209"/>
      <x:c r="C39" s="209"/>
      <x:c r="D39" s="209"/>
      <x:c r="E39" s="209"/>
      <x:c r="F39" s="209"/>
      <x:c r="G39" s="209"/>
      <x:c r="H39" s="209"/>
      <x:c r="I39" s="209"/>
      <x:c r="J39" s="209"/>
      <x:c r="K39" s="209"/>
      <x:c r="L39" s="207" t="str">
        <x:f>IF(COUNTA(H39:K39)=0,"",SUM(H39:K39))</x:f>
      </x:c>
      <x:c r="M39" s="207" t="str">
        <x:f>IF(L39="","",IF(L39&gt;=16,"RECORD",IF(L39&gt;=12,"CONSIDER","PARK")))</x:f>
      </x:c>
      <x:c r="N39" s="209"/>
      <x:c r="O39" s="209"/>
    </x:row>
    <x:row r="40">
      <x:c r="A40" s="208"/>
      <x:c r="B40" s="209"/>
      <x:c r="C40" s="209"/>
      <x:c r="D40" s="209"/>
      <x:c r="E40" s="209"/>
      <x:c r="F40" s="209"/>
      <x:c r="G40" s="209"/>
      <x:c r="H40" s="209"/>
      <x:c r="I40" s="209"/>
      <x:c r="J40" s="209"/>
      <x:c r="K40" s="209"/>
      <x:c r="L40" s="207" t="str">
        <x:f>IF(COUNTA(H40:K40)=0,"",SUM(H40:K40))</x:f>
      </x:c>
      <x:c r="M40" s="207" t="str">
        <x:f>IF(L40="","",IF(L40&gt;=16,"RECORD",IF(L40&gt;=12,"CONSIDER","PARK")))</x:f>
      </x:c>
      <x:c r="N40" s="209"/>
      <x:c r="O40" s="209"/>
    </x:row>
    <x:row r="41">
      <x:c r="A41" s="208"/>
      <x:c r="B41" s="209"/>
      <x:c r="C41" s="209"/>
      <x:c r="D41" s="209"/>
      <x:c r="E41" s="209"/>
      <x:c r="F41" s="209"/>
      <x:c r="G41" s="209"/>
      <x:c r="H41" s="209"/>
      <x:c r="I41" s="209"/>
      <x:c r="J41" s="209"/>
      <x:c r="K41" s="209"/>
      <x:c r="L41" s="207" t="str">
        <x:f>IF(COUNTA(H41:K41)=0,"",SUM(H41:K41))</x:f>
      </x:c>
      <x:c r="M41" s="207" t="str">
        <x:f>IF(L41="","",IF(L41&gt;=16,"RECORD",IF(L41&gt;=12,"CONSIDER","PARK")))</x:f>
      </x:c>
      <x:c r="N41" s="209"/>
      <x:c r="O41" s="209"/>
    </x:row>
    <x:row r="42">
      <x:c r="A42" s="208"/>
      <x:c r="B42" s="209"/>
      <x:c r="C42" s="209"/>
      <x:c r="D42" s="209"/>
      <x:c r="E42" s="209"/>
      <x:c r="F42" s="209"/>
      <x:c r="G42" s="209"/>
      <x:c r="H42" s="209"/>
      <x:c r="I42" s="209"/>
      <x:c r="J42" s="209"/>
      <x:c r="K42" s="209"/>
      <x:c r="L42" s="207" t="str">
        <x:f>IF(COUNTA(H42:K42)=0,"",SUM(H42:K42))</x:f>
      </x:c>
      <x:c r="M42" s="207" t="str">
        <x:f>IF(L42="","",IF(L42&gt;=16,"RECORD",IF(L42&gt;=12,"CONSIDER","PARK")))</x:f>
      </x:c>
      <x:c r="N42" s="209"/>
      <x:c r="O42" s="209"/>
    </x:row>
    <x:row r="43">
      <x:c r="A43" s="208"/>
      <x:c r="B43" s="209"/>
      <x:c r="C43" s="209"/>
      <x:c r="D43" s="209"/>
      <x:c r="E43" s="209"/>
      <x:c r="F43" s="209"/>
      <x:c r="G43" s="209"/>
      <x:c r="H43" s="209"/>
      <x:c r="I43" s="209"/>
      <x:c r="J43" s="209"/>
      <x:c r="K43" s="209"/>
      <x:c r="L43" s="207" t="str">
        <x:f>IF(COUNTA(H43:K43)=0,"",SUM(H43:K43))</x:f>
      </x:c>
      <x:c r="M43" s="207" t="str">
        <x:f>IF(L43="","",IF(L43&gt;=16,"RECORD",IF(L43&gt;=12,"CONSIDER","PARK")))</x:f>
      </x:c>
      <x:c r="N43" s="209"/>
      <x:c r="O43" s="209"/>
    </x:row>
    <x:row r="44">
      <x:c r="A44" s="208"/>
      <x:c r="B44" s="209"/>
      <x:c r="C44" s="209"/>
      <x:c r="D44" s="209"/>
      <x:c r="E44" s="209"/>
      <x:c r="F44" s="209"/>
      <x:c r="G44" s="209"/>
      <x:c r="H44" s="209"/>
      <x:c r="I44" s="209"/>
      <x:c r="J44" s="209"/>
      <x:c r="K44" s="209"/>
      <x:c r="L44" s="207" t="str">
        <x:f>IF(COUNTA(H44:K44)=0,"",SUM(H44:K44))</x:f>
      </x:c>
      <x:c r="M44" s="207" t="str">
        <x:f>IF(L44="","",IF(L44&gt;=16,"RECORD",IF(L44&gt;=12,"CONSIDER","PARK")))</x:f>
      </x:c>
      <x:c r="N44" s="209"/>
      <x:c r="O44" s="209"/>
    </x:row>
    <x:row r="45">
      <x:c r="A45" s="208"/>
      <x:c r="B45" s="209"/>
      <x:c r="C45" s="209"/>
      <x:c r="D45" s="209"/>
      <x:c r="E45" s="209"/>
      <x:c r="F45" s="209"/>
      <x:c r="G45" s="209"/>
      <x:c r="H45" s="209"/>
      <x:c r="I45" s="209"/>
      <x:c r="J45" s="209"/>
      <x:c r="K45" s="209"/>
      <x:c r="L45" s="207" t="str">
        <x:f>IF(COUNTA(H45:K45)=0,"",SUM(H45:K45))</x:f>
      </x:c>
      <x:c r="M45" s="207" t="str">
        <x:f>IF(L45="","",IF(L45&gt;=16,"RECORD",IF(L45&gt;=12,"CONSIDER","PARK")))</x:f>
      </x:c>
      <x:c r="N45" s="209"/>
      <x:c r="O45" s="209"/>
    </x:row>
    <x:row r="46">
      <x:c r="A46" s="208"/>
      <x:c r="B46" s="209"/>
      <x:c r="C46" s="209"/>
      <x:c r="D46" s="209"/>
      <x:c r="E46" s="209"/>
      <x:c r="F46" s="209"/>
      <x:c r="G46" s="209"/>
      <x:c r="H46" s="209"/>
      <x:c r="I46" s="209"/>
      <x:c r="J46" s="209"/>
      <x:c r="K46" s="209"/>
      <x:c r="L46" s="207" t="str">
        <x:f>IF(COUNTA(H46:K46)=0,"",SUM(H46:K46))</x:f>
      </x:c>
      <x:c r="M46" s="207" t="str">
        <x:f>IF(L46="","",IF(L46&gt;=16,"RECORD",IF(L46&gt;=12,"CONSIDER","PARK")))</x:f>
      </x:c>
      <x:c r="N46" s="209"/>
      <x:c r="O46" s="209"/>
    </x:row>
    <x:row r="47">
      <x:c r="A47" s="208"/>
      <x:c r="B47" s="209"/>
      <x:c r="C47" s="209"/>
      <x:c r="D47" s="209"/>
      <x:c r="E47" s="209"/>
      <x:c r="F47" s="209"/>
      <x:c r="G47" s="209"/>
      <x:c r="H47" s="209"/>
      <x:c r="I47" s="209"/>
      <x:c r="J47" s="209"/>
      <x:c r="K47" s="209"/>
      <x:c r="L47" s="207" t="str">
        <x:f>IF(COUNTA(H47:K47)=0,"",SUM(H47:K47))</x:f>
      </x:c>
      <x:c r="M47" s="207" t="str">
        <x:f>IF(L47="","",IF(L47&gt;=16,"RECORD",IF(L47&gt;=12,"CONSIDER","PARK")))</x:f>
      </x:c>
      <x:c r="N47" s="209"/>
      <x:c r="O47" s="209"/>
    </x:row>
    <x:row r="48">
      <x:c r="A48" s="208"/>
      <x:c r="B48" s="209"/>
      <x:c r="C48" s="209"/>
      <x:c r="D48" s="209"/>
      <x:c r="E48" s="209"/>
      <x:c r="F48" s="209"/>
      <x:c r="G48" s="209"/>
      <x:c r="H48" s="209"/>
      <x:c r="I48" s="209"/>
      <x:c r="J48" s="209"/>
      <x:c r="K48" s="209"/>
      <x:c r="L48" s="207" t="str">
        <x:f>IF(COUNTA(H48:K48)=0,"",SUM(H48:K48))</x:f>
      </x:c>
      <x:c r="M48" s="207" t="str">
        <x:f>IF(L48="","",IF(L48&gt;=16,"RECORD",IF(L48&gt;=12,"CONSIDER","PARK")))</x:f>
      </x:c>
      <x:c r="N48" s="209"/>
      <x:c r="O48" s="209"/>
    </x:row>
    <x:row r="49">
      <x:c r="A49" s="208"/>
      <x:c r="B49" s="209"/>
      <x:c r="C49" s="209"/>
      <x:c r="D49" s="209"/>
      <x:c r="E49" s="209"/>
      <x:c r="F49" s="209"/>
      <x:c r="G49" s="209"/>
      <x:c r="H49" s="209"/>
      <x:c r="I49" s="209"/>
      <x:c r="J49" s="209"/>
      <x:c r="K49" s="209"/>
      <x:c r="L49" s="207" t="str">
        <x:f>IF(COUNTA(H49:K49)=0,"",SUM(H49:K49))</x:f>
      </x:c>
      <x:c r="M49" s="207" t="str">
        <x:f>IF(L49="","",IF(L49&gt;=16,"RECORD",IF(L49&gt;=12,"CONSIDER","PARK")))</x:f>
      </x:c>
      <x:c r="N49" s="209"/>
      <x:c r="O49" s="209"/>
    </x:row>
    <x:row r="50">
      <x:c r="A50" s="208"/>
      <x:c r="B50" s="209"/>
      <x:c r="C50" s="209"/>
      <x:c r="D50" s="209"/>
      <x:c r="E50" s="209"/>
      <x:c r="F50" s="209"/>
      <x:c r="G50" s="209"/>
      <x:c r="H50" s="209"/>
      <x:c r="I50" s="209"/>
      <x:c r="J50" s="209"/>
      <x:c r="K50" s="209"/>
      <x:c r="L50" s="207" t="str">
        <x:f>IF(COUNTA(H50:K50)=0,"",SUM(H50:K50))</x:f>
      </x:c>
      <x:c r="M50" s="207" t="str">
        <x:f>IF(L50="","",IF(L50&gt;=16,"RECORD",IF(L50&gt;=12,"CONSIDER","PARK")))</x:f>
      </x:c>
      <x:c r="N50" s="209"/>
      <x:c r="O50" s="209"/>
    </x:row>
    <x:row r="51">
      <x:c r="A51" s="208"/>
      <x:c r="B51" s="209"/>
      <x:c r="C51" s="209"/>
      <x:c r="D51" s="209"/>
      <x:c r="E51" s="209"/>
      <x:c r="F51" s="209"/>
      <x:c r="G51" s="209"/>
      <x:c r="H51" s="209"/>
      <x:c r="I51" s="209"/>
      <x:c r="J51" s="209"/>
      <x:c r="K51" s="209"/>
      <x:c r="L51" s="207" t="str">
        <x:f>IF(COUNTA(H51:K51)=0,"",SUM(H51:K51))</x:f>
      </x:c>
      <x:c r="M51" s="207" t="str">
        <x:f>IF(L51="","",IF(L51&gt;=16,"RECORD",IF(L51&gt;=12,"CONSIDER","PARK")))</x:f>
      </x:c>
      <x:c r="N51" s="209"/>
      <x:c r="O51" s="209"/>
    </x:row>
    <x:row r="52">
      <x:c r="A52" s="208"/>
      <x:c r="B52" s="209"/>
      <x:c r="C52" s="209"/>
      <x:c r="D52" s="209"/>
      <x:c r="E52" s="209"/>
      <x:c r="F52" s="209"/>
      <x:c r="G52" s="209"/>
      <x:c r="H52" s="209"/>
      <x:c r="I52" s="209"/>
      <x:c r="J52" s="209"/>
      <x:c r="K52" s="209"/>
      <x:c r="L52" s="207" t="str">
        <x:f>IF(COUNTA(H52:K52)=0,"",SUM(H52:K52))</x:f>
      </x:c>
      <x:c r="M52" s="207" t="str">
        <x:f>IF(L52="","",IF(L52&gt;=16,"RECORD",IF(L52&gt;=12,"CONSIDER","PARK")))</x:f>
      </x:c>
      <x:c r="N52" s="209"/>
      <x:c r="O52" s="209"/>
    </x:row>
    <x:row r="53">
      <x:c r="A53" s="208"/>
      <x:c r="B53" s="209"/>
      <x:c r="C53" s="209"/>
      <x:c r="D53" s="209"/>
      <x:c r="E53" s="209"/>
      <x:c r="F53" s="209"/>
      <x:c r="G53" s="209"/>
      <x:c r="H53" s="209"/>
      <x:c r="I53" s="209"/>
      <x:c r="J53" s="209"/>
      <x:c r="K53" s="209"/>
      <x:c r="L53" s="207" t="str">
        <x:f>IF(COUNTA(H53:K53)=0,"",SUM(H53:K53))</x:f>
      </x:c>
      <x:c r="M53" s="207" t="str">
        <x:f>IF(L53="","",IF(L53&gt;=16,"RECORD",IF(L53&gt;=12,"CONSIDER","PARK")))</x:f>
      </x:c>
      <x:c r="N53" s="209"/>
      <x:c r="O53" s="209"/>
    </x:row>
    <x:row r="54">
      <x:c r="A54" s="208"/>
      <x:c r="B54" s="209"/>
      <x:c r="C54" s="209"/>
      <x:c r="D54" s="209"/>
      <x:c r="E54" s="209"/>
      <x:c r="F54" s="209"/>
      <x:c r="G54" s="209"/>
      <x:c r="H54" s="209"/>
      <x:c r="I54" s="209"/>
      <x:c r="J54" s="209"/>
      <x:c r="K54" s="209"/>
      <x:c r="L54" s="207" t="str">
        <x:f>IF(COUNTA(H54:K54)=0,"",SUM(H54:K54))</x:f>
      </x:c>
      <x:c r="M54" s="207" t="str">
        <x:f>IF(L54="","",IF(L54&gt;=16,"RECORD",IF(L54&gt;=12,"CONSIDER","PARK")))</x:f>
      </x:c>
      <x:c r="N54" s="209"/>
      <x:c r="O54" s="209"/>
    </x:row>
    <x:row r="55">
      <x:c r="A55" s="208"/>
      <x:c r="B55" s="209"/>
      <x:c r="C55" s="209"/>
      <x:c r="D55" s="209"/>
      <x:c r="E55" s="209"/>
      <x:c r="F55" s="209"/>
      <x:c r="G55" s="209"/>
      <x:c r="H55" s="209"/>
      <x:c r="I55" s="209"/>
      <x:c r="J55" s="209"/>
      <x:c r="K55" s="209"/>
      <x:c r="L55" s="207" t="str">
        <x:f>IF(COUNTA(H55:K55)=0,"",SUM(H55:K55))</x:f>
      </x:c>
      <x:c r="M55" s="207" t="str">
        <x:f>IF(L55="","",IF(L55&gt;=16,"RECORD",IF(L55&gt;=12,"CONSIDER","PARK")))</x:f>
      </x:c>
      <x:c r="N55" s="209"/>
      <x:c r="O55" s="209"/>
    </x:row>
    <x:row r="56">
      <x:c r="A56" s="208"/>
      <x:c r="B56" s="209"/>
      <x:c r="C56" s="209"/>
      <x:c r="D56" s="209"/>
      <x:c r="E56" s="209"/>
      <x:c r="F56" s="209"/>
      <x:c r="G56" s="209"/>
      <x:c r="H56" s="209"/>
      <x:c r="I56" s="209"/>
      <x:c r="J56" s="209"/>
      <x:c r="K56" s="209"/>
      <x:c r="L56" s="207" t="str">
        <x:f>IF(COUNTA(H56:K56)=0,"",SUM(H56:K56))</x:f>
      </x:c>
      <x:c r="M56" s="207" t="str">
        <x:f>IF(L56="","",IF(L56&gt;=16,"RECORD",IF(L56&gt;=12,"CONSIDER","PARK")))</x:f>
      </x:c>
      <x:c r="N56" s="209"/>
      <x:c r="O56" s="209"/>
    </x:row>
    <x:row r="57">
      <x:c r="A57" s="208"/>
      <x:c r="B57" s="209"/>
      <x:c r="C57" s="209"/>
      <x:c r="D57" s="209"/>
      <x:c r="E57" s="209"/>
      <x:c r="F57" s="209"/>
      <x:c r="G57" s="209"/>
      <x:c r="H57" s="209"/>
      <x:c r="I57" s="209"/>
      <x:c r="J57" s="209"/>
      <x:c r="K57" s="209"/>
      <x:c r="L57" s="207" t="str">
        <x:f>IF(COUNTA(H57:K57)=0,"",SUM(H57:K57))</x:f>
      </x:c>
      <x:c r="M57" s="207" t="str">
        <x:f>IF(L57="","",IF(L57&gt;=16,"RECORD",IF(L57&gt;=12,"CONSIDER","PARK")))</x:f>
      </x:c>
      <x:c r="N57" s="209"/>
      <x:c r="O57" s="209"/>
    </x:row>
    <x:row r="58">
      <x:c r="A58" s="208"/>
      <x:c r="B58" s="209"/>
      <x:c r="C58" s="209"/>
      <x:c r="D58" s="209"/>
      <x:c r="E58" s="209"/>
      <x:c r="F58" s="209"/>
      <x:c r="G58" s="209"/>
      <x:c r="H58" s="209"/>
      <x:c r="I58" s="209"/>
      <x:c r="J58" s="209"/>
      <x:c r="K58" s="209"/>
      <x:c r="L58" s="207" t="str">
        <x:f>IF(COUNTA(H58:K58)=0,"",SUM(H58:K58))</x:f>
      </x:c>
      <x:c r="M58" s="207" t="str">
        <x:f>IF(L58="","",IF(L58&gt;=16,"RECORD",IF(L58&gt;=12,"CONSIDER","PARK")))</x:f>
      </x:c>
      <x:c r="N58" s="209"/>
      <x:c r="O58" s="209"/>
    </x:row>
    <x:row r="59">
      <x:c r="A59" s="208"/>
      <x:c r="B59" s="209"/>
      <x:c r="C59" s="209"/>
      <x:c r="D59" s="209"/>
      <x:c r="E59" s="209"/>
      <x:c r="F59" s="209"/>
      <x:c r="G59" s="209"/>
      <x:c r="H59" s="209"/>
      <x:c r="I59" s="209"/>
      <x:c r="J59" s="209"/>
      <x:c r="K59" s="209"/>
      <x:c r="L59" s="207" t="str">
        <x:f>IF(COUNTA(H59:K59)=0,"",SUM(H59:K59))</x:f>
      </x:c>
      <x:c r="M59" s="207" t="str">
        <x:f>IF(L59="","",IF(L59&gt;=16,"RECORD",IF(L59&gt;=12,"CONSIDER","PARK")))</x:f>
      </x:c>
      <x:c r="N59" s="209"/>
      <x:c r="O59" s="209"/>
    </x:row>
    <x:row r="60">
      <x:c r="A60" s="208"/>
      <x:c r="B60" s="209"/>
      <x:c r="C60" s="209"/>
      <x:c r="D60" s="209"/>
      <x:c r="E60" s="209"/>
      <x:c r="F60" s="209"/>
      <x:c r="G60" s="209"/>
      <x:c r="H60" s="209"/>
      <x:c r="I60" s="209"/>
      <x:c r="J60" s="209"/>
      <x:c r="K60" s="209"/>
      <x:c r="L60" s="207" t="str">
        <x:f>IF(COUNTA(H60:K60)=0,"",SUM(H60:K60))</x:f>
      </x:c>
      <x:c r="M60" s="207" t="str">
        <x:f>IF(L60="","",IF(L60&gt;=16,"RECORD",IF(L60&gt;=12,"CONSIDER","PARK")))</x:f>
      </x:c>
      <x:c r="N60" s="209"/>
      <x:c r="O60" s="209"/>
    </x:row>
    <x:row r="61">
      <x:c r="A61" s="208"/>
      <x:c r="B61" s="209"/>
      <x:c r="C61" s="209"/>
      <x:c r="D61" s="209"/>
      <x:c r="E61" s="209"/>
      <x:c r="F61" s="209"/>
      <x:c r="G61" s="209"/>
      <x:c r="H61" s="209"/>
      <x:c r="I61" s="209"/>
      <x:c r="J61" s="209"/>
      <x:c r="K61" s="209"/>
      <x:c r="L61" s="207" t="str">
        <x:f>IF(COUNTA(H61:K61)=0,"",SUM(H61:K61))</x:f>
      </x:c>
      <x:c r="M61" s="207" t="str">
        <x:f>IF(L61="","",IF(L61&gt;=16,"RECORD",IF(L61&gt;=12,"CONSIDER","PARK")))</x:f>
      </x:c>
      <x:c r="N61" s="209"/>
      <x:c r="O61" s="209"/>
    </x:row>
    <x:row r="62">
      <x:c r="A62" s="208"/>
      <x:c r="B62" s="209"/>
      <x:c r="C62" s="209"/>
      <x:c r="D62" s="209"/>
      <x:c r="E62" s="209"/>
      <x:c r="F62" s="209"/>
      <x:c r="G62" s="209"/>
      <x:c r="H62" s="209"/>
      <x:c r="I62" s="209"/>
      <x:c r="J62" s="209"/>
      <x:c r="K62" s="209"/>
      <x:c r="L62" s="207" t="str">
        <x:f>IF(COUNTA(H62:K62)=0,"",SUM(H62:K62))</x:f>
      </x:c>
      <x:c r="M62" s="207" t="str">
        <x:f>IF(L62="","",IF(L62&gt;=16,"RECORD",IF(L62&gt;=12,"CONSIDER","PARK")))</x:f>
      </x:c>
      <x:c r="N62" s="209"/>
      <x:c r="O62" s="209"/>
    </x:row>
    <x:row r="63">
      <x:c r="A63" s="208"/>
      <x:c r="B63" s="209"/>
      <x:c r="C63" s="209"/>
      <x:c r="D63" s="209"/>
      <x:c r="E63" s="209"/>
      <x:c r="F63" s="209"/>
      <x:c r="G63" s="209"/>
      <x:c r="H63" s="209"/>
      <x:c r="I63" s="209"/>
      <x:c r="J63" s="209"/>
      <x:c r="K63" s="209"/>
      <x:c r="L63" s="207" t="str">
        <x:f>IF(COUNTA(H63:K63)=0,"",SUM(H63:K63))</x:f>
      </x:c>
      <x:c r="M63" s="207" t="str">
        <x:f>IF(L63="","",IF(L63&gt;=16,"RECORD",IF(L63&gt;=12,"CONSIDER","PARK")))</x:f>
      </x:c>
      <x:c r="N63" s="209"/>
      <x:c r="O63" s="209"/>
    </x:row>
    <x:row r="64">
      <x:c r="A64" s="208"/>
      <x:c r="B64" s="209"/>
      <x:c r="C64" s="209"/>
      <x:c r="D64" s="209"/>
      <x:c r="E64" s="209"/>
      <x:c r="F64" s="209"/>
      <x:c r="G64" s="209"/>
      <x:c r="H64" s="209"/>
      <x:c r="I64" s="209"/>
      <x:c r="J64" s="209"/>
      <x:c r="K64" s="209"/>
      <x:c r="L64" s="207" t="str">
        <x:f>IF(COUNTA(H64:K64)=0,"",SUM(H64:K64))</x:f>
      </x:c>
      <x:c r="M64" s="207" t="str">
        <x:f>IF(L64="","",IF(L64&gt;=16,"RECORD",IF(L64&gt;=12,"CONSIDER","PARK")))</x:f>
      </x:c>
      <x:c r="N64" s="209"/>
      <x:c r="O64" s="209"/>
    </x:row>
  </x:sheetData>
  <x:mergeCells>
    <x:mergeCell ref="A1:O1"/>
    <x:mergeCell ref="A2:O2"/>
  </x:mergeCells>
  <x:conditionalFormatting sqref="L5:L64">
    <x:cfRule type="colorScale" priority="1">
      <x:colorScale>
        <x:cfvo type="min"/>
        <x:cfvo type="percentile" val="50"/>
        <x:cfvo type="max"/>
        <x:color rgb="FFF8D7DA"/>
        <x:color rgb="FFFFF1B8"/>
        <x:color rgb="FFDDF2E5"/>
      </x:colorScale>
    </x:cfRule>
  </x:conditionalFormatting>
  <x:conditionalFormatting sqref="M5:M64">
    <x:cfRule type="containsText" dxfId="0" priority="2" operator="containsText" text="RECORD"/>
    <x:cfRule type="containsText" dxfId="1" priority="3" operator="containsText" text="PARK"/>
  </x:conditionalFormatting>
  <x:dataValidations count="5">
    <x:dataValidation type="whole" operator="between" sqref="H5:K64">
      <x:formula1>1</x:formula1>
      <x:formula2>5</x:formula2>
    </x:dataValidation>
    <x:dataValidation type="list" sqref="B5:B64">
      <x:formula1>"Chris,6ron,Both,Guest"</x:formula1>
    </x:dataValidation>
    <x:dataValidation type="list" sqref="C5:C64">
      <x:formula1>"Anime,Hip-Hop,Concerts,Sports,Gaming,Movies,Pop Culture,Lifestyle,Community"</x:formula1>
    </x:dataValidation>
    <x:dataValidation type="list" sqref="G5:G64">
      <x:formula1>"Pick a Side,Culture Court,Anime Court,One Gotta Go,Upgrade / Downgrade,Worth the Ticket?,Comment of the Week,Third Mic,Rapid Take,Story"</x:formula1>
    </x:dataValidation>
    <x:dataValidation type="list" sqref="N5:N64">
      <x:formula1>"Inbox,Research,Shortlisted,Recorded,Published,Parked"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28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30" hidden="0" customWidth="1"/>
    <x:col min="10" max="10" width="11" hidden="0" customWidth="1"/>
    <x:col min="11" max="11" width="15" hidden="0" customWidth="1"/>
    <x:col min="12" max="12" width="18" hidden="0" customWidth="1"/>
  </x:cols>
  <x:sheetData>
    <x:row r="1" ht="32" customHeight="1">
      <x:c r="A1" s="180" t="str">
        <x:v>RECORDING PLAN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</x:row>
    <x:row r="2" ht="22" customHeight="1">
      <x:c r="A2" s="181" t="str">
        <x:v>Proposed Thursday-night cycle. Adjust the dates, then lock the five segments by Wednesday evening.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</x:row>
    <x:row r="3">
      <x:c r="A3" s="182"/>
      <x:c r="B3" s="182"/>
      <x:c r="C3" s="182"/>
      <x:c r="D3" s="182"/>
      <x:c r="E3" s="182"/>
      <x:c r="F3" s="182"/>
      <x:c r="G3" s="182"/>
      <x:c r="H3" s="182"/>
      <x:c r="I3" s="182"/>
      <x:c r="J3" s="182"/>
      <x:c r="K3" s="182"/>
      <x:c r="L3" s="182"/>
    </x:row>
    <x:row r="4" ht="23" customHeight="1">
      <x:c r="A4" s="183" t="str">
        <x:v>BIWEEKLY THURSDAY PRODUCTION CALENDAR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</x:row>
    <x:row r="5" ht="30" customHeight="1">
      <x:c r="A5" s="184" t="str">
        <x:v>Record Date</x:v>
      </x:c>
      <x:c r="B5" s="185" t="str">
        <x:v>Cycle</x:v>
      </x:c>
      <x:c r="C5" s="185" t="str">
        <x:v>Episode Theme</x:v>
      </x:c>
      <x:c r="D5" s="185" t="str">
        <x:v>Segment 1</x:v>
      </x:c>
      <x:c r="E5" s="185" t="str">
        <x:v>Segment 2</x:v>
      </x:c>
      <x:c r="F5" s="185" t="str">
        <x:v>Segment 3</x:v>
      </x:c>
      <x:c r="G5" s="185" t="str">
        <x:v>Segment 4</x:v>
      </x:c>
      <x:c r="H5" s="185" t="str">
        <x:v>Segment 5</x:v>
      </x:c>
      <x:c r="I5" s="185" t="str">
        <x:v>Guest / Third Mic</x:v>
      </x:c>
      <x:c r="J5" s="185" t="str">
        <x:v>Owner</x:v>
      </x:c>
      <x:c r="K5" s="185" t="str">
        <x:v>Record Status</x:v>
      </x:c>
      <x:c r="L5" s="186" t="str">
        <x:v>Long-form Target</x:v>
      </x:c>
    </x:row>
    <x:row r="6">
      <x:c r="A6" s="210" t="n">
        <x:v>46205</x:v>
      </x:c>
      <x:c r="B6" s="207" t="str">
        <x:v>Cycle 1</x:v>
      </x:c>
      <x:c r="C6" s="207" t="str">
        <x:v>Pick a Side: Culture Edition</x:v>
      </x:c>
      <x:c r="D6" s="207" t="str">
        <x:v>Worst work schedule</x:v>
      </x:c>
      <x:c r="E6" s="207" t="str">
        <x:v>Best live performer</x:v>
      </x:c>
      <x:c r="F6" s="207" t="str">
        <x:v>Anime couple bracket</x:v>
      </x:c>
      <x:c r="G6" s="207" t="str">
        <x:v>Hits versus impact</x:v>
      </x:c>
      <x:c r="H6" s="207" t="str">
        <x:v>Viewer comment of the week</x:v>
      </x:c>
      <x:c r="I6" s="207" t="str">
        <x:v>Optional woman creator / fan perspective</x:v>
      </x:c>
      <x:c r="J6" s="207" t="str">
        <x:v>Both</x:v>
      </x:c>
      <x:c r="K6" s="207" t="str">
        <x:v>Planning</x:v>
      </x:c>
      <x:c r="L6" s="211" t="n">
        <x:f>IF(A6="","",A6+3)</x:f>
        <x:v>46208</x:v>
      </x:c>
    </x:row>
    <x:row r="7">
      <x:c r="A7" s="210" t="n">
        <x:v>46219</x:v>
      </x:c>
      <x:c r="B7" s="207" t="str">
        <x:v>Cycle 2</x:v>
      </x:c>
      <x:c r="C7" s="207" t="str"/>
      <x:c r="D7" s="207" t="str"/>
      <x:c r="E7" s="207" t="str"/>
      <x:c r="F7" s="207" t="str"/>
      <x:c r="G7" s="207" t="str"/>
      <x:c r="H7" s="207" t="str"/>
      <x:c r="I7" s="207" t="str"/>
      <x:c r="J7" s="207" t="str">
        <x:v>Both</x:v>
      </x:c>
      <x:c r="K7" s="207" t="str">
        <x:v>Not Started</x:v>
      </x:c>
      <x:c r="L7" s="211" t="n">
        <x:f>IF(A7="","",A7+3)</x:f>
        <x:v>46222</x:v>
      </x:c>
    </x:row>
    <x:row r="8">
      <x:c r="A8" s="210" t="n">
        <x:v>46233</x:v>
      </x:c>
      <x:c r="B8" s="207" t="str">
        <x:v>Cycle 3</x:v>
      </x:c>
      <x:c r="C8" s="207" t="str"/>
      <x:c r="D8" s="207" t="str"/>
      <x:c r="E8" s="207" t="str"/>
      <x:c r="F8" s="207" t="str"/>
      <x:c r="G8" s="207" t="str"/>
      <x:c r="H8" s="207" t="str"/>
      <x:c r="I8" s="207" t="str"/>
      <x:c r="J8" s="207" t="str">
        <x:v>Both</x:v>
      </x:c>
      <x:c r="K8" s="207" t="str">
        <x:v>Not Started</x:v>
      </x:c>
      <x:c r="L8" s="211" t="n">
        <x:f>IF(A8="","",A8+3)</x:f>
        <x:v>46236</x:v>
      </x:c>
    </x:row>
    <x:row r="9">
      <x:c r="A9" s="210" t="n">
        <x:v>46247</x:v>
      </x:c>
      <x:c r="B9" s="207" t="str">
        <x:v>Cycle 4</x:v>
      </x:c>
      <x:c r="C9" s="207" t="str"/>
      <x:c r="D9" s="207" t="str"/>
      <x:c r="E9" s="207" t="str"/>
      <x:c r="F9" s="207" t="str"/>
      <x:c r="G9" s="207" t="str"/>
      <x:c r="H9" s="207" t="str"/>
      <x:c r="I9" s="207" t="str"/>
      <x:c r="J9" s="207" t="str">
        <x:v>Both</x:v>
      </x:c>
      <x:c r="K9" s="207" t="str">
        <x:v>Not Started</x:v>
      </x:c>
      <x:c r="L9" s="211" t="n">
        <x:f>IF(A9="","",A9+3)</x:f>
        <x:v>46250</x:v>
      </x:c>
    </x:row>
    <x:row r="10">
      <x:c r="A10" s="210" t="n">
        <x:v>46261</x:v>
      </x:c>
      <x:c r="B10" s="207" t="str">
        <x:v>Cycle 5</x:v>
      </x:c>
      <x:c r="C10" s="207" t="str"/>
      <x:c r="D10" s="207" t="str"/>
      <x:c r="E10" s="207" t="str"/>
      <x:c r="F10" s="207" t="str"/>
      <x:c r="G10" s="207" t="str"/>
      <x:c r="H10" s="207" t="str"/>
      <x:c r="I10" s="207" t="str"/>
      <x:c r="J10" s="207" t="str">
        <x:v>Both</x:v>
      </x:c>
      <x:c r="K10" s="207" t="str">
        <x:v>Not Started</x:v>
      </x:c>
      <x:c r="L10" s="211" t="n">
        <x:f>IF(A10="","",A10+3)</x:f>
        <x:v>46264</x:v>
      </x:c>
    </x:row>
    <x:row r="11">
      <x:c r="A11" s="210" t="n">
        <x:v>46275</x:v>
      </x:c>
      <x:c r="B11" s="207" t="str">
        <x:v>Cycle 6</x:v>
      </x:c>
      <x:c r="C11" s="207" t="str"/>
      <x:c r="D11" s="207" t="str"/>
      <x:c r="E11" s="207" t="str"/>
      <x:c r="F11" s="207" t="str"/>
      <x:c r="G11" s="207" t="str"/>
      <x:c r="H11" s="207" t="str"/>
      <x:c r="I11" s="207" t="str"/>
      <x:c r="J11" s="207" t="str">
        <x:v>Both</x:v>
      </x:c>
      <x:c r="K11" s="207" t="str">
        <x:v>Not Started</x:v>
      </x:c>
      <x:c r="L11" s="211" t="n">
        <x:f>IF(A11="","",A11+3)</x:f>
        <x:v>46278</x:v>
      </x:c>
    </x:row>
    <x:row r="12">
      <x:c r="A12" s="212"/>
      <x:c r="B12" s="209"/>
      <x:c r="C12" s="209"/>
      <x:c r="D12" s="209"/>
      <x:c r="E12" s="209"/>
      <x:c r="F12" s="209"/>
      <x:c r="G12" s="209"/>
      <x:c r="H12" s="209"/>
      <x:c r="I12" s="209"/>
      <x:c r="J12" s="209"/>
      <x:c r="K12" s="209"/>
      <x:c r="L12" s="211"/>
    </x:row>
    <x:row r="13">
      <x:c r="A13" s="212"/>
      <x:c r="B13" s="209"/>
      <x:c r="C13" s="209"/>
      <x:c r="D13" s="209"/>
      <x:c r="E13" s="209"/>
      <x:c r="F13" s="209"/>
      <x:c r="G13" s="209"/>
      <x:c r="H13" s="209"/>
      <x:c r="I13" s="209"/>
      <x:c r="J13" s="209"/>
      <x:c r="K13" s="209"/>
      <x:c r="L13" s="211"/>
    </x:row>
    <x:row r="14" ht="23" customHeight="1">
      <x:c r="A14" s="213" t="str">
        <x:v>RECOMMENDED TWO-WEEK RHYTHM</x:v>
      </x:c>
      <x:c r="B14" s="213"/>
      <x:c r="C14" s="213"/>
      <x:c r="D14" s="213"/>
      <x:c r="E14" s="213"/>
      <x:c r="F14" s="213"/>
      <x:c r="G14" s="213"/>
      <x:c r="H14" s="213"/>
      <x:c r="I14" s="213"/>
      <x:c r="J14" s="213"/>
      <x:c r="K14" s="213"/>
      <x:c r="L14" s="213"/>
    </x:row>
    <x:row r="15" ht="30" customHeight="1">
      <x:c r="A15" s="184" t="str">
        <x:v>Day</x:v>
      </x:c>
      <x:c r="B15" s="185" t="str">
        <x:v>Action</x:v>
      </x:c>
      <x:c r="C15" s="185" t="str">
        <x:v>Minimum Output</x:v>
      </x:c>
      <x:c r="D15" s="186" t="str">
        <x:v>Owner</x:v>
      </x:c>
      <x:c r="E15" s="207"/>
      <x:c r="F15" s="207"/>
      <x:c r="G15" s="207"/>
      <x:c r="H15" s="207"/>
      <x:c r="I15" s="207"/>
      <x:c r="J15" s="207"/>
      <x:c r="K15" s="207"/>
      <x:c r="L15" s="207"/>
    </x:row>
    <x:row r="16">
      <x:c r="A16" s="214" t="str">
        <x:v>Monday</x:v>
      </x:c>
      <x:c r="B16" s="214" t="str">
        <x:v>Add topics to inbox</x:v>
      </x:c>
      <x:c r="C16" s="214" t="str">
        <x:v>3 ideas each</x:v>
      </x:c>
      <x:c r="D16" s="214" t="str">
        <x:v>Chris + 6ron</x:v>
      </x:c>
      <x:c r="E16" s="207"/>
      <x:c r="F16" s="207"/>
      <x:c r="G16" s="207"/>
      <x:c r="H16" s="207"/>
      <x:c r="I16" s="207"/>
      <x:c r="J16" s="207"/>
      <x:c r="K16" s="207"/>
      <x:c r="L16" s="207"/>
    </x:row>
    <x:row r="17">
      <x:c r="A17" s="215" t="str">
        <x:v>Wednesday</x:v>
      </x:c>
      <x:c r="B17" s="215" t="str">
        <x:v>Score and lock rundown</x:v>
      </x:c>
      <x:c r="C17" s="215" t="str">
        <x:v>5 segments + opening hooks</x:v>
      </x:c>
      <x:c r="D17" s="215" t="str">
        <x:v>Both</x:v>
      </x:c>
      <x:c r="E17" s="207"/>
      <x:c r="F17" s="207"/>
      <x:c r="G17" s="207"/>
      <x:c r="H17" s="207"/>
      <x:c r="I17" s="207"/>
      <x:c r="J17" s="207"/>
      <x:c r="K17" s="207"/>
      <x:c r="L17" s="207"/>
    </x:row>
    <x:row r="18">
      <x:c r="A18" s="215" t="str">
        <x:v>Thursday night</x:v>
      </x:c>
      <x:c r="B18" s="215" t="str">
        <x:v>Record</x:v>
      </x:c>
      <x:c r="C18" s="215" t="str">
        <x:v>45-75 minute episode</x:v>
      </x:c>
      <x:c r="D18" s="215" t="str">
        <x:v>Both</x:v>
      </x:c>
      <x:c r="E18" s="207"/>
      <x:c r="F18" s="207"/>
      <x:c r="G18" s="207"/>
      <x:c r="H18" s="207"/>
      <x:c r="I18" s="207"/>
      <x:c r="J18" s="207"/>
      <x:c r="K18" s="207"/>
      <x:c r="L18" s="207"/>
    </x:row>
    <x:row r="19">
      <x:c r="A19" s="215" t="str">
        <x:v>Friday</x:v>
      </x:c>
      <x:c r="B19" s="215" t="str">
        <x:v>Mark clip moments</x:v>
      </x:c>
      <x:c r="C19" s="215" t="str">
        <x:v>8 candidates</x:v>
      </x:c>
      <x:c r="D19" s="215" t="str">
        <x:v>Editor</x:v>
      </x:c>
      <x:c r="E19" s="207"/>
      <x:c r="F19" s="207"/>
      <x:c r="G19" s="207"/>
      <x:c r="H19" s="207"/>
      <x:c r="I19" s="207"/>
      <x:c r="J19" s="207"/>
      <x:c r="K19" s="207"/>
      <x:c r="L19" s="207"/>
    </x:row>
    <x:row r="20">
      <x:c r="A20" s="215" t="str">
        <x:v>Weekend</x:v>
      </x:c>
      <x:c r="B20" s="215" t="str">
        <x:v>Edit and publish long-form</x:v>
      </x:c>
      <x:c r="C20" s="215" t="str">
        <x:v>1 episode + 2 shorts</x:v>
      </x:c>
      <x:c r="D20" s="215" t="str">
        <x:v>In-house</x:v>
      </x:c>
      <x:c r="E20" s="207"/>
      <x:c r="F20" s="207"/>
      <x:c r="G20" s="207"/>
      <x:c r="H20" s="207"/>
      <x:c r="I20" s="207"/>
      <x:c r="J20" s="207"/>
      <x:c r="K20" s="207"/>
      <x:c r="L20" s="207"/>
    </x:row>
    <x:row r="21">
      <x:c r="A21" s="216" t="str">
        <x:v>Following week</x:v>
      </x:c>
      <x:c r="B21" s="216" t="str">
        <x:v>Release remaining clips</x:v>
      </x:c>
      <x:c r="C21" s="216" t="str">
        <x:v>2-3 shorts</x:v>
      </x:c>
      <x:c r="D21" s="216" t="str">
        <x:v>In-house</x:v>
      </x:c>
      <x:c r="E21" s="207"/>
      <x:c r="F21" s="207"/>
      <x:c r="G21" s="207"/>
      <x:c r="H21" s="207"/>
      <x:c r="I21" s="207"/>
      <x:c r="J21" s="207"/>
      <x:c r="K21" s="207"/>
      <x:c r="L21" s="207"/>
    </x:row>
    <x:row r="22">
      <x:c r="A22" s="212"/>
      <x:c r="B22" s="209"/>
      <x:c r="C22" s="209"/>
      <x:c r="D22" s="209"/>
      <x:c r="E22" s="209"/>
      <x:c r="F22" s="209"/>
      <x:c r="G22" s="209"/>
      <x:c r="H22" s="209"/>
      <x:c r="I22" s="209"/>
      <x:c r="J22" s="209"/>
      <x:c r="K22" s="209"/>
      <x:c r="L22" s="211" t="str">
        <x:f>IF(A22="","",A22+3)</x:f>
      </x:c>
    </x:row>
    <x:row r="23">
      <x:c r="A23" s="212"/>
      <x:c r="B23" s="209"/>
      <x:c r="C23" s="209"/>
      <x:c r="D23" s="209"/>
      <x:c r="E23" s="209"/>
      <x:c r="F23" s="209"/>
      <x:c r="G23" s="209"/>
      <x:c r="H23" s="209"/>
      <x:c r="I23" s="209"/>
      <x:c r="J23" s="209"/>
      <x:c r="K23" s="209"/>
      <x:c r="L23" s="211" t="str">
        <x:f>IF(A23="","",A23+3)</x:f>
      </x:c>
    </x:row>
    <x:row r="24">
      <x:c r="A24" s="212"/>
      <x:c r="B24" s="209"/>
      <x:c r="C24" s="209"/>
      <x:c r="D24" s="209"/>
      <x:c r="E24" s="209"/>
      <x:c r="F24" s="209"/>
      <x:c r="G24" s="209"/>
      <x:c r="H24" s="209"/>
      <x:c r="I24" s="209"/>
      <x:c r="J24" s="209"/>
      <x:c r="K24" s="209"/>
      <x:c r="L24" s="211" t="str">
        <x:f>IF(A24="","",A24+3)</x:f>
      </x:c>
    </x:row>
    <x:row r="25">
      <x:c r="A25" s="212"/>
      <x:c r="B25" s="209"/>
      <x:c r="C25" s="209"/>
      <x:c r="D25" s="209"/>
      <x:c r="E25" s="209"/>
      <x:c r="F25" s="209"/>
      <x:c r="G25" s="209"/>
      <x:c r="H25" s="209"/>
      <x:c r="I25" s="209"/>
      <x:c r="J25" s="209"/>
      <x:c r="K25" s="209"/>
      <x:c r="L25" s="211" t="str">
        <x:f>IF(A25="","",A25+3)</x:f>
      </x:c>
    </x:row>
    <x:row r="26">
      <x:c r="A26" s="212"/>
      <x:c r="B26" s="209"/>
      <x:c r="C26" s="209"/>
      <x:c r="D26" s="209"/>
      <x:c r="E26" s="209"/>
      <x:c r="F26" s="209"/>
      <x:c r="G26" s="209"/>
      <x:c r="H26" s="209"/>
      <x:c r="I26" s="209"/>
      <x:c r="J26" s="209"/>
      <x:c r="K26" s="209"/>
      <x:c r="L26" s="211" t="str">
        <x:f>IF(A26="","",A26+3)</x:f>
      </x:c>
    </x:row>
    <x:row r="27">
      <x:c r="A27" s="212"/>
      <x:c r="B27" s="209"/>
      <x:c r="C27" s="209"/>
      <x:c r="D27" s="209"/>
      <x:c r="E27" s="209"/>
      <x:c r="F27" s="209"/>
      <x:c r="G27" s="209"/>
      <x:c r="H27" s="209"/>
      <x:c r="I27" s="209"/>
      <x:c r="J27" s="209"/>
      <x:c r="K27" s="209"/>
      <x:c r="L27" s="211" t="str">
        <x:f>IF(A27="","",A27+3)</x:f>
      </x:c>
    </x:row>
    <x:row r="28">
      <x:c r="A28" s="212"/>
      <x:c r="B28" s="209"/>
      <x:c r="C28" s="209"/>
      <x:c r="D28" s="209"/>
      <x:c r="E28" s="209"/>
      <x:c r="F28" s="209"/>
      <x:c r="G28" s="209"/>
      <x:c r="H28" s="209"/>
      <x:c r="I28" s="209"/>
      <x:c r="J28" s="209"/>
      <x:c r="K28" s="209"/>
      <x:c r="L28" s="211" t="str">
        <x:f>IF(A28="","",A28+3)</x:f>
      </x:c>
    </x:row>
    <x:row r="29">
      <x:c r="A29" s="212"/>
      <x:c r="B29" s="209"/>
      <x:c r="C29" s="209"/>
      <x:c r="D29" s="209"/>
      <x:c r="E29" s="209"/>
      <x:c r="F29" s="209"/>
      <x:c r="G29" s="209"/>
      <x:c r="H29" s="209"/>
      <x:c r="I29" s="209"/>
      <x:c r="J29" s="209"/>
      <x:c r="K29" s="209"/>
      <x:c r="L29" s="211" t="str">
        <x:f>IF(A29="","",A29+3)</x:f>
      </x:c>
    </x:row>
    <x:row r="30">
      <x:c r="A30" s="212"/>
      <x:c r="B30" s="209"/>
      <x:c r="C30" s="209"/>
      <x:c r="D30" s="209"/>
      <x:c r="E30" s="209"/>
      <x:c r="F30" s="209"/>
      <x:c r="G30" s="209"/>
      <x:c r="H30" s="209"/>
      <x:c r="I30" s="209"/>
      <x:c r="J30" s="209"/>
      <x:c r="K30" s="209"/>
      <x:c r="L30" s="211" t="str">
        <x:f>IF(A30="","",A30+3)</x:f>
      </x:c>
    </x:row>
    <x:row r="31">
      <x:c r="A31" s="212"/>
      <x:c r="B31" s="209"/>
      <x:c r="C31" s="209"/>
      <x:c r="D31" s="209"/>
      <x:c r="E31" s="209"/>
      <x:c r="F31" s="209"/>
      <x:c r="G31" s="209"/>
      <x:c r="H31" s="209"/>
      <x:c r="I31" s="209"/>
      <x:c r="J31" s="209"/>
      <x:c r="K31" s="209"/>
      <x:c r="L31" s="211" t="str">
        <x:f>IF(A31="","",A31+3)</x:f>
      </x:c>
    </x:row>
    <x:row r="32">
      <x:c r="A32" s="212"/>
      <x:c r="B32" s="209"/>
      <x:c r="C32" s="209"/>
      <x:c r="D32" s="209"/>
      <x:c r="E32" s="209"/>
      <x:c r="F32" s="209"/>
      <x:c r="G32" s="209"/>
      <x:c r="H32" s="209"/>
      <x:c r="I32" s="209"/>
      <x:c r="J32" s="209"/>
      <x:c r="K32" s="209"/>
      <x:c r="L32" s="211" t="str">
        <x:f>IF(A32="","",A32+3)</x:f>
      </x:c>
    </x:row>
    <x:row r="33">
      <x:c r="A33" s="212"/>
      <x:c r="B33" s="209"/>
      <x:c r="C33" s="209"/>
      <x:c r="D33" s="209"/>
      <x:c r="E33" s="209"/>
      <x:c r="F33" s="209"/>
      <x:c r="G33" s="209"/>
      <x:c r="H33" s="209"/>
      <x:c r="I33" s="209"/>
      <x:c r="J33" s="209"/>
      <x:c r="K33" s="209"/>
      <x:c r="L33" s="211" t="str">
        <x:f>IF(A33="","",A33+3)</x:f>
      </x:c>
    </x:row>
    <x:row r="34">
      <x:c r="A34" s="212"/>
      <x:c r="B34" s="209"/>
      <x:c r="C34" s="209"/>
      <x:c r="D34" s="209"/>
      <x:c r="E34" s="209"/>
      <x:c r="F34" s="209"/>
      <x:c r="G34" s="209"/>
      <x:c r="H34" s="209"/>
      <x:c r="I34" s="209"/>
      <x:c r="J34" s="209"/>
      <x:c r="K34" s="209"/>
      <x:c r="L34" s="211" t="str">
        <x:f>IF(A34="","",A34+3)</x:f>
      </x:c>
    </x:row>
    <x:row r="35">
      <x:c r="A35" s="212"/>
      <x:c r="B35" s="209"/>
      <x:c r="C35" s="209"/>
      <x:c r="D35" s="209"/>
      <x:c r="E35" s="209"/>
      <x:c r="F35" s="209"/>
      <x:c r="G35" s="209"/>
      <x:c r="H35" s="209"/>
      <x:c r="I35" s="209"/>
      <x:c r="J35" s="209"/>
      <x:c r="K35" s="209"/>
      <x:c r="L35" s="211" t="str">
        <x:f>IF(A35="","",A35+3)</x:f>
      </x:c>
    </x:row>
  </x:sheetData>
  <x:mergeCells>
    <x:mergeCell ref="A1:L1"/>
    <x:mergeCell ref="A2:L2"/>
    <x:mergeCell ref="A4:L4"/>
    <x:mergeCell ref="A14:L14"/>
  </x:mergeCells>
  <x:conditionalFormatting sqref="K6:K13">
    <x:cfRule type="containsText" dxfId="2" priority="1" operator="containsText" text="Ready"/>
    <x:cfRule type="containsText" dxfId="3" priority="2" operator="containsText" text="Planning"/>
  </x:conditionalFormatting>
  <x:conditionalFormatting sqref="K22:K35">
    <x:cfRule type="containsText" dxfId="4" priority="3" operator="containsText" text="Ready"/>
    <x:cfRule type="containsText" dxfId="5" priority="4" operator="containsText" text="Planning"/>
  </x:conditionalFormatting>
  <x:dataValidations count="4">
    <x:dataValidation type="list" sqref="J6:J13">
      <x:formula1>"Chris,6ron,Both"</x:formula1>
    </x:dataValidation>
    <x:dataValidation type="list" sqref="J22:J35">
      <x:formula1>"Chris,6ron,Both"</x:formula1>
    </x:dataValidation>
    <x:dataValidation type="list" sqref="K6:K13">
      <x:formula1>"Not Started,Planning,Ready,Recorded,Cancelled"</x:formula1>
    </x:dataValidation>
    <x:dataValidation type="list" sqref="K22:K35">
      <x:formula1>"Not Started,Planning,Ready,Recorded,Cancelled"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22" hidden="0" customWidth="1"/>
    <x:col min="5" max="5" width="38" hidden="0" customWidth="1"/>
    <x:col min="6" max="6" width="20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2" hidden="0" customWidth="1"/>
    <x:col min="12" max="12" width="4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3" hidden="0" customWidth="1"/>
    <x:col min="21" max="21" width="12" hidden="0" customWidth="1"/>
    <x:col min="22" max="22" width="12" hidden="0" customWidth="1"/>
    <x:col min="23" max="23" width="38" hidden="0" customWidth="1"/>
  </x:cols>
  <x:sheetData>
    <x:row r="1" ht="32" customHeight="1">
      <x:c r="A1" s="180" t="str">
        <x:v>CLIP TRACKER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  <x:c r="M1" s="180"/>
      <x:c r="N1" s="180"/>
      <x:c r="O1" s="180"/>
      <x:c r="P1" s="180"/>
      <x:c r="Q1" s="180"/>
      <x:c r="R1" s="180"/>
      <x:c r="S1" s="180"/>
      <x:c r="T1" s="180"/>
      <x:c r="U1" s="180"/>
      <x:c r="V1" s="180"/>
      <x:c r="W1" s="180"/>
    </x:row>
    <x:row r="2" ht="22" customHeight="1">
      <x:c r="A2" s="181" t="str">
        <x:v>One row per platform post. The same clip posted to three platforms gets three rows so performance stays honest.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</x:row>
    <x:row r="3">
      <x:c r="A3" s="182"/>
      <x:c r="B3" s="182"/>
      <x:c r="C3" s="182"/>
      <x:c r="D3" s="182"/>
      <x:c r="E3" s="182"/>
      <x:c r="F3" s="182"/>
      <x:c r="G3" s="182"/>
      <x:c r="H3" s="182"/>
      <x:c r="I3" s="182"/>
      <x:c r="J3" s="182"/>
      <x:c r="K3" s="182"/>
      <x:c r="L3" s="182"/>
      <x:c r="M3" s="182"/>
      <x:c r="N3" s="182"/>
      <x:c r="O3" s="182"/>
      <x:c r="P3" s="182"/>
      <x:c r="Q3" s="182"/>
      <x:c r="R3" s="182"/>
      <x:c r="S3" s="182"/>
      <x:c r="T3" s="182"/>
      <x:c r="U3" s="182"/>
      <x:c r="V3" s="182"/>
      <x:c r="W3" s="182"/>
    </x:row>
    <x:row r="4" ht="30" customHeight="1">
      <x:c r="A4" s="184" t="str">
        <x:v>Clip ID</x:v>
      </x:c>
      <x:c r="B4" s="185" t="str">
        <x:v>Recording</x:v>
      </x:c>
      <x:c r="C4" s="185" t="str">
        <x:v>Pillar</x:v>
      </x:c>
      <x:c r="D4" s="185" t="str">
        <x:v>Topic</x:v>
      </x:c>
      <x:c r="E4" s="185" t="str">
        <x:v>Hook</x:v>
      </x:c>
      <x:c r="F4" s="185" t="str">
        <x:v>Format</x:v>
      </x:c>
      <x:c r="G4" s="185" t="str">
        <x:v>Owner</x:v>
      </x:c>
      <x:c r="H4" s="185" t="str">
        <x:v>Edit Status</x:v>
      </x:c>
      <x:c r="I4" s="185" t="str">
        <x:v>Platform</x:v>
      </x:c>
      <x:c r="J4" s="185" t="str">
        <x:v>Publish Status</x:v>
      </x:c>
      <x:c r="K4" s="185" t="str">
        <x:v>Publish Date</x:v>
      </x:c>
      <x:c r="L4" s="185" t="str">
        <x:v>URL</x:v>
      </x:c>
      <x:c r="M4" s="185" t="str">
        <x:v>Views</x:v>
      </x:c>
      <x:c r="N4" s="185" t="str">
        <x:v>Likes</x:v>
      </x:c>
      <x:c r="O4" s="185" t="str">
        <x:v>Comments</x:v>
      </x:c>
      <x:c r="P4" s="185" t="str">
        <x:v>Shares</x:v>
      </x:c>
      <x:c r="Q4" s="185" t="str">
        <x:v>Saves</x:v>
      </x:c>
      <x:c r="R4" s="185" t="str">
        <x:v>Engagements</x:v>
      </x:c>
      <x:c r="S4" s="185" t="str">
        <x:v>Engagement Rate</x:v>
      </x:c>
      <x:c r="T4" s="185" t="str">
        <x:v>Avg Viewed %</x:v>
      </x:c>
      <x:c r="U4" s="185" t="str">
        <x:v>24h Views</x:v>
      </x:c>
      <x:c r="V4" s="185" t="str">
        <x:v>7d Views</x:v>
      </x:c>
      <x:c r="W4" s="186" t="str">
        <x:v>Lesson</x:v>
      </x:c>
    </x:row>
    <x:row r="5">
      <x:c r="A5" s="207" t="str">
        <x:v>DRMJ-TT</x:v>
      </x:c>
      <x:c r="B5" s="207" t="str">
        <x:v>June 2026</x:v>
      </x:c>
      <x:c r="C5" s="207" t="str">
        <x:v>Hip-Hop</x:v>
      </x:c>
      <x:c r="D5" s="207" t="str">
        <x:v>Drake vs MJ</x:v>
      </x:c>
      <x:c r="E5" s="207" t="str">
        <x:v>Does more #1 hits put Drake over MJ?</x:v>
      </x:c>
      <x:c r="F5" s="207" t="str">
        <x:v>Podcast reaction</x:v>
      </x:c>
      <x:c r="G5" s="207" t="str">
        <x:v>Both</x:v>
      </x:c>
      <x:c r="H5" s="207" t="str">
        <x:v>Done</x:v>
      </x:c>
      <x:c r="I5" s="207" t="str">
        <x:v>TikTok</x:v>
      </x:c>
      <x:c r="J5" s="207" t="str">
        <x:v>Published</x:v>
      </x:c>
      <x:c r="K5" s="206" t="n">
        <x:v>46179</x:v>
      </x:c>
      <x:c r="L5" s="207" t="str">
        <x:v>https://www.tiktok.com/@equacast/video/7648312588534598943</x:v>
      </x:c>
      <x:c r="M5" s="217" t="n">
        <x:v>725</x:v>
      </x:c>
      <x:c r="N5" s="217" t="n">
        <x:v>45</x:v>
      </x:c>
      <x:c r="O5" s="217" t="n">
        <x:v>23</x:v>
      </x:c>
      <x:c r="P5" s="217" t="n">
        <x:v>4</x:v>
      </x:c>
      <x:c r="Q5" s="217" t="n">
        <x:v>6</x:v>
      </x:c>
      <x:c r="R5" s="217" t="n">
        <x:f>IF(COUNTA(N5:Q5)=0,"",SUM(N5:Q5))</x:f>
        <x:v>78</x:v>
      </x:c>
      <x:c r="S5" s="218" t="n">
        <x:f>IF(R5="","",IFERROR(R5/M5,""))</x:f>
        <x:v>0.10758620689655173</x:v>
      </x:c>
      <x:c r="T5" s="218"/>
      <x:c r="U5" s="207"/>
      <x:c r="V5" s="207"/>
      <x:c r="W5" s="207" t="str">
        <x:v>Good comments; weak reach and long runtime</x:v>
      </x:c>
    </x:row>
    <x:row r="6">
      <x:c r="A6" s="207" t="str">
        <x:v>DRMJ-IG</x:v>
      </x:c>
      <x:c r="B6" s="207" t="str">
        <x:v>June 2026</x:v>
      </x:c>
      <x:c r="C6" s="207" t="str">
        <x:v>Hip-Hop</x:v>
      </x:c>
      <x:c r="D6" s="207" t="str">
        <x:v>Drake vs MJ</x:v>
      </x:c>
      <x:c r="E6" s="207" t="str">
        <x:v>Does more #1 hits put Drake over MJ?</x:v>
      </x:c>
      <x:c r="F6" s="207" t="str">
        <x:v>Podcast reaction</x:v>
      </x:c>
      <x:c r="G6" s="207" t="str">
        <x:v>Both</x:v>
      </x:c>
      <x:c r="H6" s="207" t="str">
        <x:v>Done</x:v>
      </x:c>
      <x:c r="I6" s="207" t="str">
        <x:v>Instagram</x:v>
      </x:c>
      <x:c r="J6" s="207" t="str">
        <x:v>Published</x:v>
      </x:c>
      <x:c r="K6" s="206" t="n">
        <x:v>46179</x:v>
      </x:c>
      <x:c r="L6" s="207" t="str">
        <x:v>https://www.instagram.com/equacast/reel/DZP_-V8ArkB/</x:v>
      </x:c>
      <x:c r="M6" s="217" t="n">
        <x:v>2631</x:v>
      </x:c>
      <x:c r="N6" s="217"/>
      <x:c r="O6" s="217"/>
      <x:c r="P6" s="217"/>
      <x:c r="Q6" s="217"/>
      <x:c r="R6" s="217" t="str">
        <x:f>IF(COUNTA(N6:Q6)=0,"",SUM(N6:Q6))</x:f>
      </x:c>
      <x:c r="S6" s="218" t="str">
        <x:f>IF(R6="","",IFERROR(R6/M6,""))</x:f>
      </x:c>
      <x:c r="T6" s="218"/>
      <x:c r="U6" s="207"/>
      <x:c r="V6" s="207"/>
      <x:c r="W6" s="207" t="str">
        <x:v>Instagram distributed this version better</x:v>
      </x:c>
    </x:row>
    <x:row r="7">
      <x:c r="A7" s="207" t="str">
        <x:v>DRMJ-YT</x:v>
      </x:c>
      <x:c r="B7" s="207" t="str">
        <x:v>June 2026</x:v>
      </x:c>
      <x:c r="C7" s="207" t="str">
        <x:v>Hip-Hop</x:v>
      </x:c>
      <x:c r="D7" s="207" t="str">
        <x:v>Drake vs MJ</x:v>
      </x:c>
      <x:c r="E7" s="207" t="str">
        <x:v>Does more #1 hits put Drake over MJ?</x:v>
      </x:c>
      <x:c r="F7" s="207" t="str">
        <x:v>Short</x:v>
      </x:c>
      <x:c r="G7" s="207" t="str">
        <x:v>Both</x:v>
      </x:c>
      <x:c r="H7" s="207" t="str">
        <x:v>Done</x:v>
      </x:c>
      <x:c r="I7" s="207" t="str">
        <x:v>YouTube</x:v>
      </x:c>
      <x:c r="J7" s="207" t="str">
        <x:v>Published</x:v>
      </x:c>
      <x:c r="K7" s="206" t="n">
        <x:v>46179</x:v>
      </x:c>
      <x:c r="L7" s="207" t="str">
        <x:v>https://www.youtube.com/shorts/omXNBDepAGw</x:v>
      </x:c>
      <x:c r="M7" s="217" t="n">
        <x:v>788</x:v>
      </x:c>
      <x:c r="N7" s="217" t="n">
        <x:v>15</x:v>
      </x:c>
      <x:c r="O7" s="217" t="n">
        <x:v>5</x:v>
      </x:c>
      <x:c r="P7" s="217"/>
      <x:c r="Q7" s="217"/>
      <x:c r="R7" s="217" t="n">
        <x:f>IF(COUNTA(N7:Q7)=0,"",SUM(N7:Q7))</x:f>
        <x:v>20</x:v>
      </x:c>
      <x:c r="S7" s="218" t="n">
        <x:f>IF(R7="","",IFERROR(R7/M7,""))</x:f>
        <x:v>0.025380710659898477</x:v>
      </x:c>
      <x:c r="T7" s="218" t="n">
        <x:v>0.337</x:v>
      </x:c>
      <x:c r="U7" s="207"/>
      <x:c r="V7" s="207"/>
      <x:c r="W7" s="207" t="str">
        <x:v>Below typical retention; tighten the opening</x:v>
      </x:c>
    </x:row>
    <x:row r="8">
      <x:c r="A8" s="207" t="str">
        <x:v>ICE-TT</x:v>
      </x:c>
      <x:c r="B8" s="207" t="str">
        <x:v>June 2026</x:v>
      </x:c>
      <x:c r="C8" s="207" t="str">
        <x:v>Hip-Hop</x:v>
      </x:c>
      <x:c r="D8" s="207" t="str">
        <x:v>Drake Iceman</x:v>
      </x:c>
      <x:c r="E8" s="207" t="str">
        <x:v>Is Iceman Drake's best project since CLB?</x:v>
      </x:c>
      <x:c r="F8" s="207" t="str">
        <x:v>Podcast reaction</x:v>
      </x:c>
      <x:c r="G8" s="207" t="str">
        <x:v>Both</x:v>
      </x:c>
      <x:c r="H8" s="207" t="str">
        <x:v>Done</x:v>
      </x:c>
      <x:c r="I8" s="207" t="str">
        <x:v>TikTok</x:v>
      </x:c>
      <x:c r="J8" s="207" t="str">
        <x:v>Published</x:v>
      </x:c>
      <x:c r="K8" s="206" t="n">
        <x:v>46178</x:v>
      </x:c>
      <x:c r="L8" s="207" t="str">
        <x:v>https://www.tiktok.com/@equacast/video/7648043709086453023</x:v>
      </x:c>
      <x:c r="M8" s="217" t="n">
        <x:v>675</x:v>
      </x:c>
      <x:c r="N8" s="217"/>
      <x:c r="O8" s="217"/>
      <x:c r="P8" s="217"/>
      <x:c r="Q8" s="217"/>
      <x:c r="R8" s="217" t="str">
        <x:f>IF(COUNTA(N8:Q8)=0,"",SUM(N8:Q8))</x:f>
      </x:c>
      <x:c r="S8" s="218" t="str">
        <x:f>IF(R8="","",IFERROR(R8/M8,""))</x:f>
      </x:c>
      <x:c r="T8" s="218"/>
      <x:c r="U8" s="207"/>
      <x:c r="V8" s="207"/>
      <x:c r="W8" s="207" t="str">
        <x:v>Change 'our thoughts' to a direct choice</x:v>
      </x:c>
    </x:row>
    <x:row r="9">
      <x:c r="A9" s="207" t="str">
        <x:v>ICE-IG</x:v>
      </x:c>
      <x:c r="B9" s="207" t="str">
        <x:v>June 2026</x:v>
      </x:c>
      <x:c r="C9" s="207" t="str">
        <x:v>Hip-Hop</x:v>
      </x:c>
      <x:c r="D9" s="207" t="str">
        <x:v>Drake Iceman</x:v>
      </x:c>
      <x:c r="E9" s="207" t="str">
        <x:v>Is Iceman Drake's best project since CLB?</x:v>
      </x:c>
      <x:c r="F9" s="207" t="str">
        <x:v>Podcast reaction</x:v>
      </x:c>
      <x:c r="G9" s="207" t="str">
        <x:v>Both</x:v>
      </x:c>
      <x:c r="H9" s="207" t="str">
        <x:v>Done</x:v>
      </x:c>
      <x:c r="I9" s="207" t="str">
        <x:v>Instagram</x:v>
      </x:c>
      <x:c r="J9" s="207" t="str">
        <x:v>Published</x:v>
      </x:c>
      <x:c r="K9" s="206" t="n">
        <x:v>46178</x:v>
      </x:c>
      <x:c r="L9" s="207" t="str">
        <x:v>https://www.instagram.com/equacast/reel/DZOJJrBRGB5/</x:v>
      </x:c>
      <x:c r="M9" s="217" t="n">
        <x:v>1994</x:v>
      </x:c>
      <x:c r="N9" s="217"/>
      <x:c r="O9" s="217"/>
      <x:c r="P9" s="217"/>
      <x:c r="Q9" s="217"/>
      <x:c r="R9" s="217" t="str">
        <x:f>IF(COUNTA(N9:Q9)=0,"",SUM(N9:Q9))</x:f>
      </x:c>
      <x:c r="S9" s="218" t="str">
        <x:f>IF(R9="","",IFERROR(R9/M9,""))</x:f>
      </x:c>
      <x:c r="T9" s="218"/>
      <x:c r="U9" s="207"/>
      <x:c r="V9" s="207"/>
      <x:c r="W9" s="207" t="str">
        <x:v>Instagram again outperformed TikTok</x:v>
      </x:c>
    </x:row>
    <x:row r="10">
      <x:c r="A10" s="207" t="str">
        <x:v>ICE-YT</x:v>
      </x:c>
      <x:c r="B10" s="207" t="str">
        <x:v>June 2026</x:v>
      </x:c>
      <x:c r="C10" s="207" t="str">
        <x:v>Hip-Hop</x:v>
      </x:c>
      <x:c r="D10" s="207" t="str">
        <x:v>Drake Iceman</x:v>
      </x:c>
      <x:c r="E10" s="207" t="str">
        <x:v>Is Iceman Drake's best project since CLB?</x:v>
      </x:c>
      <x:c r="F10" s="207" t="str">
        <x:v>Short</x:v>
      </x:c>
      <x:c r="G10" s="207" t="str">
        <x:v>Both</x:v>
      </x:c>
      <x:c r="H10" s="207" t="str">
        <x:v>Done</x:v>
      </x:c>
      <x:c r="I10" s="207" t="str">
        <x:v>YouTube</x:v>
      </x:c>
      <x:c r="J10" s="207" t="str">
        <x:v>Published</x:v>
      </x:c>
      <x:c r="K10" s="206" t="n">
        <x:v>46178</x:v>
      </x:c>
      <x:c r="L10" s="207" t="str">
        <x:v>https://www.youtube.com/shorts/tIT2z4kgmvM</x:v>
      </x:c>
      <x:c r="M10" s="217" t="n">
        <x:v>1090</x:v>
      </x:c>
      <x:c r="N10" s="217" t="n">
        <x:v>14</x:v>
      </x:c>
      <x:c r="O10" s="217" t="n">
        <x:v>0</x:v>
      </x:c>
      <x:c r="P10" s="217"/>
      <x:c r="Q10" s="217"/>
      <x:c r="R10" s="217" t="n">
        <x:f>IF(COUNTA(N10:Q10)=0,"",SUM(N10:Q10))</x:f>
        <x:v>14</x:v>
      </x:c>
      <x:c r="S10" s="218" t="n">
        <x:f>IF(R10="","",IFERROR(R10/M10,""))</x:f>
        <x:v>0.012844036697247707</x:v>
      </x:c>
      <x:c r="T10" s="218" t="n">
        <x:v>0.442</x:v>
      </x:c>
      <x:c r="U10" s="207"/>
      <x:c r="V10" s="207"/>
      <x:c r="W10" s="207" t="str">
        <x:v>Near baseline; aim for 50%+ viewed</x:v>
      </x:c>
    </x:row>
    <x:row r="11">
      <x:c r="A11" s="207" t="str">
        <x:v>KEN-YT</x:v>
      </x:c>
      <x:c r="B11" s="207" t="str">
        <x:v>June 2026</x:v>
      </x:c>
      <x:c r="C11" s="207" t="str">
        <x:v>Hip-Hop</x:v>
      </x:c>
      <x:c r="D11" s="207" t="str">
        <x:v>Ken Carson</x:v>
      </x:c>
      <x:c r="E11" s="207" t="str">
        <x:v>Replacement artist: upgrade or downgrade?</x:v>
      </x:c>
      <x:c r="F11" s="207" t="str">
        <x:v>Short</x:v>
      </x:c>
      <x:c r="G11" s="207" t="str">
        <x:v>Both</x:v>
      </x:c>
      <x:c r="H11" s="207" t="str">
        <x:v>Done</x:v>
      </x:c>
      <x:c r="I11" s="207" t="str">
        <x:v>YouTube</x:v>
      </x:c>
      <x:c r="J11" s="207" t="str">
        <x:v>Published</x:v>
      </x:c>
      <x:c r="K11" s="206" t="n">
        <x:v>46178</x:v>
      </x:c>
      <x:c r="L11" s="207" t="str">
        <x:v>https://www.youtube.com/shorts/GHNLLnj6Mko</x:v>
      </x:c>
      <x:c r="M11" s="217" t="n">
        <x:v>978</x:v>
      </x:c>
      <x:c r="N11" s="217" t="n">
        <x:v>31</x:v>
      </x:c>
      <x:c r="O11" s="217" t="n">
        <x:v>1</x:v>
      </x:c>
      <x:c r="P11" s="217"/>
      <x:c r="Q11" s="217"/>
      <x:c r="R11" s="217" t="n">
        <x:f>IF(COUNTA(N11:Q11)=0,"",SUM(N11:Q11))</x:f>
        <x:v>32</x:v>
      </x:c>
      <x:c r="S11" s="218" t="n">
        <x:f>IF(R11="","",IFERROR(R11/M11,""))</x:f>
        <x:v>0.032719836400818</x:v>
      </x:c>
      <x:c r="T11" s="218" t="n">
        <x:v>0.386</x:v>
      </x:c>
      <x:c r="U11" s="207"/>
      <x:c r="V11" s="207"/>
      <x:c r="W11" s="207" t="str">
        <x:v>Specific story; use sharper framing</x:v>
      </x:c>
    </x:row>
    <x:row r="12">
      <x:c r="A12" s="207" t="str">
        <x:v>KNICKS-YT</x:v>
      </x:c>
      <x:c r="B12" s="207" t="str">
        <x:v>June 2026</x:v>
      </x:c>
      <x:c r="C12" s="207" t="str">
        <x:v>Sports</x:v>
      </x:c>
      <x:c r="D12" s="207" t="str">
        <x:v>Knicks in 4</x:v>
      </x:c>
      <x:c r="E12" s="207" t="str">
        <x:v>Where does this team rank in NY history?</x:v>
      </x:c>
      <x:c r="F12" s="207" t="str">
        <x:v>Short</x:v>
      </x:c>
      <x:c r="G12" s="207" t="str">
        <x:v>Both</x:v>
      </x:c>
      <x:c r="H12" s="207" t="str">
        <x:v>Done</x:v>
      </x:c>
      <x:c r="I12" s="207" t="str">
        <x:v>YouTube</x:v>
      </x:c>
      <x:c r="J12" s="207" t="str">
        <x:v>Published</x:v>
      </x:c>
      <x:c r="K12" s="206" t="n">
        <x:v>46175</x:v>
      </x:c>
      <x:c r="L12" s="207" t="str">
        <x:v>https://www.youtube.com/shorts/UhnRo3WCMG8</x:v>
      </x:c>
      <x:c r="M12" s="217" t="n">
        <x:v>1189</x:v>
      </x:c>
      <x:c r="N12" s="217" t="n">
        <x:v>31</x:v>
      </x:c>
      <x:c r="O12" s="217" t="n">
        <x:v>5</x:v>
      </x:c>
      <x:c r="P12" s="217"/>
      <x:c r="Q12" s="217"/>
      <x:c r="R12" s="217" t="n">
        <x:f>IF(COUNTA(N12:Q12)=0,"",SUM(N12:Q12))</x:f>
        <x:v>36</x:v>
      </x:c>
      <x:c r="S12" s="218" t="n">
        <x:f>IF(R12="","",IFERROR(R12/M12,""))</x:f>
        <x:v>0.030277544154751892</x:v>
      </x:c>
      <x:c r="T12" s="218" t="n">
        <x:v>0.604</x:v>
      </x:c>
      <x:c r="U12" s="207"/>
      <x:c r="V12" s="207"/>
      <x:c r="W12" s="207" t="str">
        <x:v>Best recent retention; repeat local identity</x:v>
      </x:c>
    </x:row>
    <x:row r="13">
      <x:c r="A13" s="209"/>
      <x:c r="B13" s="209"/>
      <x:c r="C13" s="209"/>
      <x:c r="D13" s="209"/>
      <x:c r="E13" s="209"/>
      <x:c r="F13" s="209"/>
      <x:c r="G13" s="209"/>
      <x:c r="H13" s="209"/>
      <x:c r="I13" s="209"/>
      <x:c r="J13" s="209"/>
      <x:c r="K13" s="208"/>
      <x:c r="L13" s="209"/>
      <x:c r="M13" s="219"/>
      <x:c r="N13" s="219"/>
      <x:c r="O13" s="219"/>
      <x:c r="P13" s="219"/>
      <x:c r="Q13" s="219"/>
      <x:c r="R13" s="217" t="str">
        <x:f>IF(COUNTA(N13:Q13)=0,"",SUM(N13:Q13))</x:f>
      </x:c>
      <x:c r="S13" s="218" t="str">
        <x:f>IF(R13="","",IFERROR(R13/M13,""))</x:f>
      </x:c>
      <x:c r="T13" s="220"/>
      <x:c r="U13" s="209"/>
      <x:c r="V13" s="209"/>
      <x:c r="W13" s="209"/>
    </x:row>
    <x:row r="14">
      <x:c r="A14" s="209"/>
      <x:c r="B14" s="209"/>
      <x:c r="C14" s="209"/>
      <x:c r="D14" s="209"/>
      <x:c r="E14" s="209"/>
      <x:c r="F14" s="209"/>
      <x:c r="G14" s="209"/>
      <x:c r="H14" s="209"/>
      <x:c r="I14" s="209"/>
      <x:c r="J14" s="209"/>
      <x:c r="K14" s="208"/>
      <x:c r="L14" s="209"/>
      <x:c r="M14" s="219"/>
      <x:c r="N14" s="219"/>
      <x:c r="O14" s="219"/>
      <x:c r="P14" s="219"/>
      <x:c r="Q14" s="219"/>
      <x:c r="R14" s="217" t="str">
        <x:f>IF(COUNTA(N14:Q14)=0,"",SUM(N14:Q14))</x:f>
      </x:c>
      <x:c r="S14" s="218" t="str">
        <x:f>IF(R14="","",IFERROR(R14/M14,""))</x:f>
      </x:c>
      <x:c r="T14" s="220"/>
      <x:c r="U14" s="209"/>
      <x:c r="V14" s="209"/>
      <x:c r="W14" s="209"/>
    </x:row>
    <x:row r="15">
      <x:c r="A15" s="209"/>
      <x:c r="B15" s="209"/>
      <x:c r="C15" s="209"/>
      <x:c r="D15" s="209"/>
      <x:c r="E15" s="209"/>
      <x:c r="F15" s="209"/>
      <x:c r="G15" s="209"/>
      <x:c r="H15" s="209"/>
      <x:c r="I15" s="209"/>
      <x:c r="J15" s="209"/>
      <x:c r="K15" s="208"/>
      <x:c r="L15" s="209"/>
      <x:c r="M15" s="219"/>
      <x:c r="N15" s="219"/>
      <x:c r="O15" s="219"/>
      <x:c r="P15" s="219"/>
      <x:c r="Q15" s="219"/>
      <x:c r="R15" s="217" t="str">
        <x:f>IF(COUNTA(N15:Q15)=0,"",SUM(N15:Q15))</x:f>
      </x:c>
      <x:c r="S15" s="218" t="str">
        <x:f>IF(R15="","",IFERROR(R15/M15,""))</x:f>
      </x:c>
      <x:c r="T15" s="220"/>
      <x:c r="U15" s="209"/>
      <x:c r="V15" s="209"/>
      <x:c r="W15" s="209"/>
    </x:row>
    <x:row r="16">
      <x:c r="A16" s="209"/>
      <x:c r="B16" s="209"/>
      <x:c r="C16" s="209"/>
      <x:c r="D16" s="209"/>
      <x:c r="E16" s="209"/>
      <x:c r="F16" s="209"/>
      <x:c r="G16" s="209"/>
      <x:c r="H16" s="209"/>
      <x:c r="I16" s="209"/>
      <x:c r="J16" s="209"/>
      <x:c r="K16" s="208"/>
      <x:c r="L16" s="209"/>
      <x:c r="M16" s="219"/>
      <x:c r="N16" s="219"/>
      <x:c r="O16" s="219"/>
      <x:c r="P16" s="219"/>
      <x:c r="Q16" s="219"/>
      <x:c r="R16" s="217" t="str">
        <x:f>IF(COUNTA(N16:Q16)=0,"",SUM(N16:Q16))</x:f>
      </x:c>
      <x:c r="S16" s="218" t="str">
        <x:f>IF(R16="","",IFERROR(R16/M16,""))</x:f>
      </x:c>
      <x:c r="T16" s="220"/>
      <x:c r="U16" s="209"/>
      <x:c r="V16" s="209"/>
      <x:c r="W16" s="209"/>
    </x:row>
    <x:row r="17">
      <x:c r="A17" s="209"/>
      <x:c r="B17" s="209"/>
      <x:c r="C17" s="209"/>
      <x:c r="D17" s="209"/>
      <x:c r="E17" s="209"/>
      <x:c r="F17" s="209"/>
      <x:c r="G17" s="209"/>
      <x:c r="H17" s="209"/>
      <x:c r="I17" s="209"/>
      <x:c r="J17" s="209"/>
      <x:c r="K17" s="208"/>
      <x:c r="L17" s="209"/>
      <x:c r="M17" s="219"/>
      <x:c r="N17" s="219"/>
      <x:c r="O17" s="219"/>
      <x:c r="P17" s="219"/>
      <x:c r="Q17" s="219"/>
      <x:c r="R17" s="217" t="str">
        <x:f>IF(COUNTA(N17:Q17)=0,"",SUM(N17:Q17))</x:f>
      </x:c>
      <x:c r="S17" s="218" t="str">
        <x:f>IF(R17="","",IFERROR(R17/M17,""))</x:f>
      </x:c>
      <x:c r="T17" s="220"/>
      <x:c r="U17" s="209"/>
      <x:c r="V17" s="209"/>
      <x:c r="W17" s="209"/>
    </x:row>
    <x:row r="18">
      <x:c r="A18" s="209"/>
      <x:c r="B18" s="209"/>
      <x:c r="C18" s="209"/>
      <x:c r="D18" s="209"/>
      <x:c r="E18" s="209"/>
      <x:c r="F18" s="209"/>
      <x:c r="G18" s="209"/>
      <x:c r="H18" s="209"/>
      <x:c r="I18" s="209"/>
      <x:c r="J18" s="209"/>
      <x:c r="K18" s="208"/>
      <x:c r="L18" s="209"/>
      <x:c r="M18" s="219"/>
      <x:c r="N18" s="219"/>
      <x:c r="O18" s="219"/>
      <x:c r="P18" s="219"/>
      <x:c r="Q18" s="219"/>
      <x:c r="R18" s="217" t="str">
        <x:f>IF(COUNTA(N18:Q18)=0,"",SUM(N18:Q18))</x:f>
      </x:c>
      <x:c r="S18" s="218" t="str">
        <x:f>IF(R18="","",IFERROR(R18/M18,""))</x:f>
      </x:c>
      <x:c r="T18" s="220"/>
      <x:c r="U18" s="209"/>
      <x:c r="V18" s="209"/>
      <x:c r="W18" s="209"/>
    </x:row>
    <x:row r="19">
      <x:c r="A19" s="209"/>
      <x:c r="B19" s="209"/>
      <x:c r="C19" s="209"/>
      <x:c r="D19" s="209"/>
      <x:c r="E19" s="209"/>
      <x:c r="F19" s="209"/>
      <x:c r="G19" s="209"/>
      <x:c r="H19" s="209"/>
      <x:c r="I19" s="209"/>
      <x:c r="J19" s="209"/>
      <x:c r="K19" s="208"/>
      <x:c r="L19" s="209"/>
      <x:c r="M19" s="219"/>
      <x:c r="N19" s="219"/>
      <x:c r="O19" s="219"/>
      <x:c r="P19" s="219"/>
      <x:c r="Q19" s="219"/>
      <x:c r="R19" s="217" t="str">
        <x:f>IF(COUNTA(N19:Q19)=0,"",SUM(N19:Q19))</x:f>
      </x:c>
      <x:c r="S19" s="218" t="str">
        <x:f>IF(R19="","",IFERROR(R19/M19,""))</x:f>
      </x:c>
      <x:c r="T19" s="220"/>
      <x:c r="U19" s="209"/>
      <x:c r="V19" s="209"/>
      <x:c r="W19" s="209"/>
    </x:row>
    <x:row r="20">
      <x:c r="A20" s="209"/>
      <x:c r="B20" s="209"/>
      <x:c r="C20" s="209"/>
      <x:c r="D20" s="209"/>
      <x:c r="E20" s="209"/>
      <x:c r="F20" s="209"/>
      <x:c r="G20" s="209"/>
      <x:c r="H20" s="209"/>
      <x:c r="I20" s="209"/>
      <x:c r="J20" s="209"/>
      <x:c r="K20" s="208"/>
      <x:c r="L20" s="209"/>
      <x:c r="M20" s="219"/>
      <x:c r="N20" s="219"/>
      <x:c r="O20" s="219"/>
      <x:c r="P20" s="219"/>
      <x:c r="Q20" s="219"/>
      <x:c r="R20" s="217" t="str">
        <x:f>IF(COUNTA(N20:Q20)=0,"",SUM(N20:Q20))</x:f>
      </x:c>
      <x:c r="S20" s="218" t="str">
        <x:f>IF(R20="","",IFERROR(R20/M20,""))</x:f>
      </x:c>
      <x:c r="T20" s="220"/>
      <x:c r="U20" s="209"/>
      <x:c r="V20" s="209"/>
      <x:c r="W20" s="209"/>
    </x:row>
    <x:row r="21">
      <x:c r="A21" s="209"/>
      <x:c r="B21" s="209"/>
      <x:c r="C21" s="209"/>
      <x:c r="D21" s="209"/>
      <x:c r="E21" s="209"/>
      <x:c r="F21" s="209"/>
      <x:c r="G21" s="209"/>
      <x:c r="H21" s="209"/>
      <x:c r="I21" s="209"/>
      <x:c r="J21" s="209"/>
      <x:c r="K21" s="208"/>
      <x:c r="L21" s="209"/>
      <x:c r="M21" s="219"/>
      <x:c r="N21" s="219"/>
      <x:c r="O21" s="219"/>
      <x:c r="P21" s="219"/>
      <x:c r="Q21" s="219"/>
      <x:c r="R21" s="217" t="str">
        <x:f>IF(COUNTA(N21:Q21)=0,"",SUM(N21:Q21))</x:f>
      </x:c>
      <x:c r="S21" s="218" t="str">
        <x:f>IF(R21="","",IFERROR(R21/M21,""))</x:f>
      </x:c>
      <x:c r="T21" s="220"/>
      <x:c r="U21" s="209"/>
      <x:c r="V21" s="209"/>
      <x:c r="W21" s="209"/>
    </x:row>
    <x:row r="22">
      <x:c r="A22" s="209"/>
      <x:c r="B22" s="209"/>
      <x:c r="C22" s="209"/>
      <x:c r="D22" s="209"/>
      <x:c r="E22" s="209"/>
      <x:c r="F22" s="209"/>
      <x:c r="G22" s="209"/>
      <x:c r="H22" s="209"/>
      <x:c r="I22" s="209"/>
      <x:c r="J22" s="209"/>
      <x:c r="K22" s="208"/>
      <x:c r="L22" s="209"/>
      <x:c r="M22" s="219"/>
      <x:c r="N22" s="219"/>
      <x:c r="O22" s="219"/>
      <x:c r="P22" s="219"/>
      <x:c r="Q22" s="219"/>
      <x:c r="R22" s="217" t="str">
        <x:f>IF(COUNTA(N22:Q22)=0,"",SUM(N22:Q22))</x:f>
      </x:c>
      <x:c r="S22" s="218" t="str">
        <x:f>IF(R22="","",IFERROR(R22/M22,""))</x:f>
      </x:c>
      <x:c r="T22" s="220"/>
      <x:c r="U22" s="209"/>
      <x:c r="V22" s="209"/>
      <x:c r="W22" s="209"/>
    </x:row>
    <x:row r="23">
      <x:c r="A23" s="209"/>
      <x:c r="B23" s="209"/>
      <x:c r="C23" s="209"/>
      <x:c r="D23" s="209"/>
      <x:c r="E23" s="209"/>
      <x:c r="F23" s="209"/>
      <x:c r="G23" s="209"/>
      <x:c r="H23" s="209"/>
      <x:c r="I23" s="209"/>
      <x:c r="J23" s="209"/>
      <x:c r="K23" s="208"/>
      <x:c r="L23" s="209"/>
      <x:c r="M23" s="219"/>
      <x:c r="N23" s="219"/>
      <x:c r="O23" s="219"/>
      <x:c r="P23" s="219"/>
      <x:c r="Q23" s="219"/>
      <x:c r="R23" s="217" t="str">
        <x:f>IF(COUNTA(N23:Q23)=0,"",SUM(N23:Q23))</x:f>
      </x:c>
      <x:c r="S23" s="218" t="str">
        <x:f>IF(R23="","",IFERROR(R23/M23,""))</x:f>
      </x:c>
      <x:c r="T23" s="220"/>
      <x:c r="U23" s="209"/>
      <x:c r="V23" s="209"/>
      <x:c r="W23" s="209"/>
    </x:row>
    <x:row r="24">
      <x:c r="A24" s="209"/>
      <x:c r="B24" s="209"/>
      <x:c r="C24" s="209"/>
      <x:c r="D24" s="209"/>
      <x:c r="E24" s="209"/>
      <x:c r="F24" s="209"/>
      <x:c r="G24" s="209"/>
      <x:c r="H24" s="209"/>
      <x:c r="I24" s="209"/>
      <x:c r="J24" s="209"/>
      <x:c r="K24" s="208"/>
      <x:c r="L24" s="209"/>
      <x:c r="M24" s="219"/>
      <x:c r="N24" s="219"/>
      <x:c r="O24" s="219"/>
      <x:c r="P24" s="219"/>
      <x:c r="Q24" s="219"/>
      <x:c r="R24" s="217" t="str">
        <x:f>IF(COUNTA(N24:Q24)=0,"",SUM(N24:Q24))</x:f>
      </x:c>
      <x:c r="S24" s="218" t="str">
        <x:f>IF(R24="","",IFERROR(R24/M24,""))</x:f>
      </x:c>
      <x:c r="T24" s="220"/>
      <x:c r="U24" s="209"/>
      <x:c r="V24" s="209"/>
      <x:c r="W24" s="209"/>
    </x:row>
    <x:row r="25">
      <x:c r="A25" s="209"/>
      <x:c r="B25" s="209"/>
      <x:c r="C25" s="209"/>
      <x:c r="D25" s="209"/>
      <x:c r="E25" s="209"/>
      <x:c r="F25" s="209"/>
      <x:c r="G25" s="209"/>
      <x:c r="H25" s="209"/>
      <x:c r="I25" s="209"/>
      <x:c r="J25" s="209"/>
      <x:c r="K25" s="208"/>
      <x:c r="L25" s="209"/>
      <x:c r="M25" s="219"/>
      <x:c r="N25" s="219"/>
      <x:c r="O25" s="219"/>
      <x:c r="P25" s="219"/>
      <x:c r="Q25" s="219"/>
      <x:c r="R25" s="217" t="str">
        <x:f>IF(COUNTA(N25:Q25)=0,"",SUM(N25:Q25))</x:f>
      </x:c>
      <x:c r="S25" s="218" t="str">
        <x:f>IF(R25="","",IFERROR(R25/M25,""))</x:f>
      </x:c>
      <x:c r="T25" s="220"/>
      <x:c r="U25" s="209"/>
      <x:c r="V25" s="209"/>
      <x:c r="W25" s="209"/>
    </x:row>
    <x:row r="26">
      <x:c r="A26" s="209"/>
      <x:c r="B26" s="209"/>
      <x:c r="C26" s="209"/>
      <x:c r="D26" s="209"/>
      <x:c r="E26" s="209"/>
      <x:c r="F26" s="209"/>
      <x:c r="G26" s="209"/>
      <x:c r="H26" s="209"/>
      <x:c r="I26" s="209"/>
      <x:c r="J26" s="209"/>
      <x:c r="K26" s="208"/>
      <x:c r="L26" s="209"/>
      <x:c r="M26" s="219"/>
      <x:c r="N26" s="219"/>
      <x:c r="O26" s="219"/>
      <x:c r="P26" s="219"/>
      <x:c r="Q26" s="219"/>
      <x:c r="R26" s="217" t="str">
        <x:f>IF(COUNTA(N26:Q26)=0,"",SUM(N26:Q26))</x:f>
      </x:c>
      <x:c r="S26" s="218" t="str">
        <x:f>IF(R26="","",IFERROR(R26/M26,""))</x:f>
      </x:c>
      <x:c r="T26" s="220"/>
      <x:c r="U26" s="209"/>
      <x:c r="V26" s="209"/>
      <x:c r="W26" s="209"/>
    </x:row>
    <x:row r="27">
      <x:c r="A27" s="209"/>
      <x:c r="B27" s="209"/>
      <x:c r="C27" s="209"/>
      <x:c r="D27" s="209"/>
      <x:c r="E27" s="209"/>
      <x:c r="F27" s="209"/>
      <x:c r="G27" s="209"/>
      <x:c r="H27" s="209"/>
      <x:c r="I27" s="209"/>
      <x:c r="J27" s="209"/>
      <x:c r="K27" s="208"/>
      <x:c r="L27" s="209"/>
      <x:c r="M27" s="219"/>
      <x:c r="N27" s="219"/>
      <x:c r="O27" s="219"/>
      <x:c r="P27" s="219"/>
      <x:c r="Q27" s="219"/>
      <x:c r="R27" s="217" t="str">
        <x:f>IF(COUNTA(N27:Q27)=0,"",SUM(N27:Q27))</x:f>
      </x:c>
      <x:c r="S27" s="218" t="str">
        <x:f>IF(R27="","",IFERROR(R27/M27,""))</x:f>
      </x:c>
      <x:c r="T27" s="220"/>
      <x:c r="U27" s="209"/>
      <x:c r="V27" s="209"/>
      <x:c r="W27" s="209"/>
    </x:row>
    <x:row r="28">
      <x:c r="A28" s="209"/>
      <x:c r="B28" s="209"/>
      <x:c r="C28" s="209"/>
      <x:c r="D28" s="209"/>
      <x:c r="E28" s="209"/>
      <x:c r="F28" s="209"/>
      <x:c r="G28" s="209"/>
      <x:c r="H28" s="209"/>
      <x:c r="I28" s="209"/>
      <x:c r="J28" s="209"/>
      <x:c r="K28" s="208"/>
      <x:c r="L28" s="209"/>
      <x:c r="M28" s="219"/>
      <x:c r="N28" s="219"/>
      <x:c r="O28" s="219"/>
      <x:c r="P28" s="219"/>
      <x:c r="Q28" s="219"/>
      <x:c r="R28" s="217" t="str">
        <x:f>IF(COUNTA(N28:Q28)=0,"",SUM(N28:Q28))</x:f>
      </x:c>
      <x:c r="S28" s="218" t="str">
        <x:f>IF(R28="","",IFERROR(R28/M28,""))</x:f>
      </x:c>
      <x:c r="T28" s="220"/>
      <x:c r="U28" s="209"/>
      <x:c r="V28" s="209"/>
      <x:c r="W28" s="209"/>
    </x:row>
    <x:row r="29">
      <x:c r="A29" s="209"/>
      <x:c r="B29" s="209"/>
      <x:c r="C29" s="209"/>
      <x:c r="D29" s="209"/>
      <x:c r="E29" s="209"/>
      <x:c r="F29" s="209"/>
      <x:c r="G29" s="209"/>
      <x:c r="H29" s="209"/>
      <x:c r="I29" s="209"/>
      <x:c r="J29" s="209"/>
      <x:c r="K29" s="208"/>
      <x:c r="L29" s="209"/>
      <x:c r="M29" s="219"/>
      <x:c r="N29" s="219"/>
      <x:c r="O29" s="219"/>
      <x:c r="P29" s="219"/>
      <x:c r="Q29" s="219"/>
      <x:c r="R29" s="217" t="str">
        <x:f>IF(COUNTA(N29:Q29)=0,"",SUM(N29:Q29))</x:f>
      </x:c>
      <x:c r="S29" s="218" t="str">
        <x:f>IF(R29="","",IFERROR(R29/M29,""))</x:f>
      </x:c>
      <x:c r="T29" s="220"/>
      <x:c r="U29" s="209"/>
      <x:c r="V29" s="209"/>
      <x:c r="W29" s="209"/>
    </x:row>
    <x:row r="30">
      <x:c r="A30" s="209"/>
      <x:c r="B30" s="209"/>
      <x:c r="C30" s="209"/>
      <x:c r="D30" s="209"/>
      <x:c r="E30" s="209"/>
      <x:c r="F30" s="209"/>
      <x:c r="G30" s="209"/>
      <x:c r="H30" s="209"/>
      <x:c r="I30" s="209"/>
      <x:c r="J30" s="209"/>
      <x:c r="K30" s="208"/>
      <x:c r="L30" s="209"/>
      <x:c r="M30" s="219"/>
      <x:c r="N30" s="219"/>
      <x:c r="O30" s="219"/>
      <x:c r="P30" s="219"/>
      <x:c r="Q30" s="219"/>
      <x:c r="R30" s="217" t="str">
        <x:f>IF(COUNTA(N30:Q30)=0,"",SUM(N30:Q30))</x:f>
      </x:c>
      <x:c r="S30" s="218" t="str">
        <x:f>IF(R30="","",IFERROR(R30/M30,""))</x:f>
      </x:c>
      <x:c r="T30" s="220"/>
      <x:c r="U30" s="209"/>
      <x:c r="V30" s="209"/>
      <x:c r="W30" s="209"/>
    </x:row>
    <x:row r="31">
      <x:c r="A31" s="209"/>
      <x:c r="B31" s="209"/>
      <x:c r="C31" s="209"/>
      <x:c r="D31" s="209"/>
      <x:c r="E31" s="209"/>
      <x:c r="F31" s="209"/>
      <x:c r="G31" s="209"/>
      <x:c r="H31" s="209"/>
      <x:c r="I31" s="209"/>
      <x:c r="J31" s="209"/>
      <x:c r="K31" s="208"/>
      <x:c r="L31" s="209"/>
      <x:c r="M31" s="219"/>
      <x:c r="N31" s="219"/>
      <x:c r="O31" s="219"/>
      <x:c r="P31" s="219"/>
      <x:c r="Q31" s="219"/>
      <x:c r="R31" s="217" t="str">
        <x:f>IF(COUNTA(N31:Q31)=0,"",SUM(N31:Q31))</x:f>
      </x:c>
      <x:c r="S31" s="218" t="str">
        <x:f>IF(R31="","",IFERROR(R31/M31,""))</x:f>
      </x:c>
      <x:c r="T31" s="220"/>
      <x:c r="U31" s="209"/>
      <x:c r="V31" s="209"/>
      <x:c r="W31" s="209"/>
    </x:row>
    <x:row r="32">
      <x:c r="A32" s="209"/>
      <x:c r="B32" s="209"/>
      <x:c r="C32" s="209"/>
      <x:c r="D32" s="209"/>
      <x:c r="E32" s="209"/>
      <x:c r="F32" s="209"/>
      <x:c r="G32" s="209"/>
      <x:c r="H32" s="209"/>
      <x:c r="I32" s="209"/>
      <x:c r="J32" s="209"/>
      <x:c r="K32" s="208"/>
      <x:c r="L32" s="209"/>
      <x:c r="M32" s="219"/>
      <x:c r="N32" s="219"/>
      <x:c r="O32" s="219"/>
      <x:c r="P32" s="219"/>
      <x:c r="Q32" s="219"/>
      <x:c r="R32" s="217" t="str">
        <x:f>IF(COUNTA(N32:Q32)=0,"",SUM(N32:Q32))</x:f>
      </x:c>
      <x:c r="S32" s="218" t="str">
        <x:f>IF(R32="","",IFERROR(R32/M32,""))</x:f>
      </x:c>
      <x:c r="T32" s="220"/>
      <x:c r="U32" s="209"/>
      <x:c r="V32" s="209"/>
      <x:c r="W32" s="209"/>
    </x:row>
    <x:row r="33">
      <x:c r="A33" s="209"/>
      <x:c r="B33" s="209"/>
      <x:c r="C33" s="209"/>
      <x:c r="D33" s="209"/>
      <x:c r="E33" s="209"/>
      <x:c r="F33" s="209"/>
      <x:c r="G33" s="209"/>
      <x:c r="H33" s="209"/>
      <x:c r="I33" s="209"/>
      <x:c r="J33" s="209"/>
      <x:c r="K33" s="208"/>
      <x:c r="L33" s="209"/>
      <x:c r="M33" s="219"/>
      <x:c r="N33" s="219"/>
      <x:c r="O33" s="219"/>
      <x:c r="P33" s="219"/>
      <x:c r="Q33" s="219"/>
      <x:c r="R33" s="217" t="str">
        <x:f>IF(COUNTA(N33:Q33)=0,"",SUM(N33:Q33))</x:f>
      </x:c>
      <x:c r="S33" s="218" t="str">
        <x:f>IF(R33="","",IFERROR(R33/M33,""))</x:f>
      </x:c>
      <x:c r="T33" s="220"/>
      <x:c r="U33" s="209"/>
      <x:c r="V33" s="209"/>
      <x:c r="W33" s="209"/>
    </x:row>
    <x:row r="34">
      <x:c r="A34" s="209"/>
      <x:c r="B34" s="209"/>
      <x:c r="C34" s="209"/>
      <x:c r="D34" s="209"/>
      <x:c r="E34" s="209"/>
      <x:c r="F34" s="209"/>
      <x:c r="G34" s="209"/>
      <x:c r="H34" s="209"/>
      <x:c r="I34" s="209"/>
      <x:c r="J34" s="209"/>
      <x:c r="K34" s="208"/>
      <x:c r="L34" s="209"/>
      <x:c r="M34" s="219"/>
      <x:c r="N34" s="219"/>
      <x:c r="O34" s="219"/>
      <x:c r="P34" s="219"/>
      <x:c r="Q34" s="219"/>
      <x:c r="R34" s="217" t="str">
        <x:f>IF(COUNTA(N34:Q34)=0,"",SUM(N34:Q34))</x:f>
      </x:c>
      <x:c r="S34" s="218" t="str">
        <x:f>IF(R34="","",IFERROR(R34/M34,""))</x:f>
      </x:c>
      <x:c r="T34" s="220"/>
      <x:c r="U34" s="209"/>
      <x:c r="V34" s="209"/>
      <x:c r="W34" s="209"/>
    </x:row>
    <x:row r="35">
      <x:c r="A35" s="209"/>
      <x:c r="B35" s="209"/>
      <x:c r="C35" s="209"/>
      <x:c r="D35" s="209"/>
      <x:c r="E35" s="209"/>
      <x:c r="F35" s="209"/>
      <x:c r="G35" s="209"/>
      <x:c r="H35" s="209"/>
      <x:c r="I35" s="209"/>
      <x:c r="J35" s="209"/>
      <x:c r="K35" s="208"/>
      <x:c r="L35" s="209"/>
      <x:c r="M35" s="219"/>
      <x:c r="N35" s="219"/>
      <x:c r="O35" s="219"/>
      <x:c r="P35" s="219"/>
      <x:c r="Q35" s="219"/>
      <x:c r="R35" s="217" t="str">
        <x:f>IF(COUNTA(N35:Q35)=0,"",SUM(N35:Q35))</x:f>
      </x:c>
      <x:c r="S35" s="218" t="str">
        <x:f>IF(R35="","",IFERROR(R35/M35,""))</x:f>
      </x:c>
      <x:c r="T35" s="220"/>
      <x:c r="U35" s="209"/>
      <x:c r="V35" s="209"/>
      <x:c r="W35" s="209"/>
    </x:row>
    <x:row r="36">
      <x:c r="A36" s="209"/>
      <x:c r="B36" s="209"/>
      <x:c r="C36" s="209"/>
      <x:c r="D36" s="209"/>
      <x:c r="E36" s="209"/>
      <x:c r="F36" s="209"/>
      <x:c r="G36" s="209"/>
      <x:c r="H36" s="209"/>
      <x:c r="I36" s="209"/>
      <x:c r="J36" s="209"/>
      <x:c r="K36" s="208"/>
      <x:c r="L36" s="209"/>
      <x:c r="M36" s="219"/>
      <x:c r="N36" s="219"/>
      <x:c r="O36" s="219"/>
      <x:c r="P36" s="219"/>
      <x:c r="Q36" s="219"/>
      <x:c r="R36" s="217" t="str">
        <x:f>IF(COUNTA(N36:Q36)=0,"",SUM(N36:Q36))</x:f>
      </x:c>
      <x:c r="S36" s="218" t="str">
        <x:f>IF(R36="","",IFERROR(R36/M36,""))</x:f>
      </x:c>
      <x:c r="T36" s="220"/>
      <x:c r="U36" s="209"/>
      <x:c r="V36" s="209"/>
      <x:c r="W36" s="209"/>
    </x:row>
    <x:row r="37">
      <x:c r="A37" s="209"/>
      <x:c r="B37" s="209"/>
      <x:c r="C37" s="209"/>
      <x:c r="D37" s="209"/>
      <x:c r="E37" s="209"/>
      <x:c r="F37" s="209"/>
      <x:c r="G37" s="209"/>
      <x:c r="H37" s="209"/>
      <x:c r="I37" s="209"/>
      <x:c r="J37" s="209"/>
      <x:c r="K37" s="208"/>
      <x:c r="L37" s="209"/>
      <x:c r="M37" s="219"/>
      <x:c r="N37" s="219"/>
      <x:c r="O37" s="219"/>
      <x:c r="P37" s="219"/>
      <x:c r="Q37" s="219"/>
      <x:c r="R37" s="217" t="str">
        <x:f>IF(COUNTA(N37:Q37)=0,"",SUM(N37:Q37))</x:f>
      </x:c>
      <x:c r="S37" s="218" t="str">
        <x:f>IF(R37="","",IFERROR(R37/M37,""))</x:f>
      </x:c>
      <x:c r="T37" s="220"/>
      <x:c r="U37" s="209"/>
      <x:c r="V37" s="209"/>
      <x:c r="W37" s="209"/>
    </x:row>
    <x:row r="38">
      <x:c r="A38" s="209"/>
      <x:c r="B38" s="209"/>
      <x:c r="C38" s="209"/>
      <x:c r="D38" s="209"/>
      <x:c r="E38" s="209"/>
      <x:c r="F38" s="209"/>
      <x:c r="G38" s="209"/>
      <x:c r="H38" s="209"/>
      <x:c r="I38" s="209"/>
      <x:c r="J38" s="209"/>
      <x:c r="K38" s="208"/>
      <x:c r="L38" s="209"/>
      <x:c r="M38" s="219"/>
      <x:c r="N38" s="219"/>
      <x:c r="O38" s="219"/>
      <x:c r="P38" s="219"/>
      <x:c r="Q38" s="219"/>
      <x:c r="R38" s="217" t="str">
        <x:f>IF(COUNTA(N38:Q38)=0,"",SUM(N38:Q38))</x:f>
      </x:c>
      <x:c r="S38" s="218" t="str">
        <x:f>IF(R38="","",IFERROR(R38/M38,""))</x:f>
      </x:c>
      <x:c r="T38" s="220"/>
      <x:c r="U38" s="209"/>
      <x:c r="V38" s="209"/>
      <x:c r="W38" s="209"/>
    </x:row>
    <x:row r="39">
      <x:c r="A39" s="209"/>
      <x:c r="B39" s="209"/>
      <x:c r="C39" s="209"/>
      <x:c r="D39" s="209"/>
      <x:c r="E39" s="209"/>
      <x:c r="F39" s="209"/>
      <x:c r="G39" s="209"/>
      <x:c r="H39" s="209"/>
      <x:c r="I39" s="209"/>
      <x:c r="J39" s="209"/>
      <x:c r="K39" s="208"/>
      <x:c r="L39" s="209"/>
      <x:c r="M39" s="219"/>
      <x:c r="N39" s="219"/>
      <x:c r="O39" s="219"/>
      <x:c r="P39" s="219"/>
      <x:c r="Q39" s="219"/>
      <x:c r="R39" s="217" t="str">
        <x:f>IF(COUNTA(N39:Q39)=0,"",SUM(N39:Q39))</x:f>
      </x:c>
      <x:c r="S39" s="218" t="str">
        <x:f>IF(R39="","",IFERROR(R39/M39,""))</x:f>
      </x:c>
      <x:c r="T39" s="220"/>
      <x:c r="U39" s="209"/>
      <x:c r="V39" s="209"/>
      <x:c r="W39" s="209"/>
    </x:row>
    <x:row r="40">
      <x:c r="A40" s="209"/>
      <x:c r="B40" s="209"/>
      <x:c r="C40" s="209"/>
      <x:c r="D40" s="209"/>
      <x:c r="E40" s="209"/>
      <x:c r="F40" s="209"/>
      <x:c r="G40" s="209"/>
      <x:c r="H40" s="209"/>
      <x:c r="I40" s="209"/>
      <x:c r="J40" s="209"/>
      <x:c r="K40" s="208"/>
      <x:c r="L40" s="209"/>
      <x:c r="M40" s="219"/>
      <x:c r="N40" s="219"/>
      <x:c r="O40" s="219"/>
      <x:c r="P40" s="219"/>
      <x:c r="Q40" s="219"/>
      <x:c r="R40" s="217" t="str">
        <x:f>IF(COUNTA(N40:Q40)=0,"",SUM(N40:Q40))</x:f>
      </x:c>
      <x:c r="S40" s="218" t="str">
        <x:f>IF(R40="","",IFERROR(R40/M40,""))</x:f>
      </x:c>
      <x:c r="T40" s="220"/>
      <x:c r="U40" s="209"/>
      <x:c r="V40" s="209"/>
      <x:c r="W40" s="209"/>
    </x:row>
    <x:row r="41">
      <x:c r="A41" s="209"/>
      <x:c r="B41" s="209"/>
      <x:c r="C41" s="209"/>
      <x:c r="D41" s="209"/>
      <x:c r="E41" s="209"/>
      <x:c r="F41" s="209"/>
      <x:c r="G41" s="209"/>
      <x:c r="H41" s="209"/>
      <x:c r="I41" s="209"/>
      <x:c r="J41" s="209"/>
      <x:c r="K41" s="208"/>
      <x:c r="L41" s="209"/>
      <x:c r="M41" s="219"/>
      <x:c r="N41" s="219"/>
      <x:c r="O41" s="219"/>
      <x:c r="P41" s="219"/>
      <x:c r="Q41" s="219"/>
      <x:c r="R41" s="217" t="str">
        <x:f>IF(COUNTA(N41:Q41)=0,"",SUM(N41:Q41))</x:f>
      </x:c>
      <x:c r="S41" s="218" t="str">
        <x:f>IF(R41="","",IFERROR(R41/M41,""))</x:f>
      </x:c>
      <x:c r="T41" s="220"/>
      <x:c r="U41" s="209"/>
      <x:c r="V41" s="209"/>
      <x:c r="W41" s="209"/>
    </x:row>
    <x:row r="42">
      <x:c r="A42" s="209"/>
      <x:c r="B42" s="209"/>
      <x:c r="C42" s="209"/>
      <x:c r="D42" s="209"/>
      <x:c r="E42" s="209"/>
      <x:c r="F42" s="209"/>
      <x:c r="G42" s="209"/>
      <x:c r="H42" s="209"/>
      <x:c r="I42" s="209"/>
      <x:c r="J42" s="209"/>
      <x:c r="K42" s="208"/>
      <x:c r="L42" s="209"/>
      <x:c r="M42" s="219"/>
      <x:c r="N42" s="219"/>
      <x:c r="O42" s="219"/>
      <x:c r="P42" s="219"/>
      <x:c r="Q42" s="219"/>
      <x:c r="R42" s="217" t="str">
        <x:f>IF(COUNTA(N42:Q42)=0,"",SUM(N42:Q42))</x:f>
      </x:c>
      <x:c r="S42" s="218" t="str">
        <x:f>IF(R42="","",IFERROR(R42/M42,""))</x:f>
      </x:c>
      <x:c r="T42" s="220"/>
      <x:c r="U42" s="209"/>
      <x:c r="V42" s="209"/>
      <x:c r="W42" s="209"/>
    </x:row>
    <x:row r="43">
      <x:c r="A43" s="209"/>
      <x:c r="B43" s="209"/>
      <x:c r="C43" s="209"/>
      <x:c r="D43" s="209"/>
      <x:c r="E43" s="209"/>
      <x:c r="F43" s="209"/>
      <x:c r="G43" s="209"/>
      <x:c r="H43" s="209"/>
      <x:c r="I43" s="209"/>
      <x:c r="J43" s="209"/>
      <x:c r="K43" s="208"/>
      <x:c r="L43" s="209"/>
      <x:c r="M43" s="219"/>
      <x:c r="N43" s="219"/>
      <x:c r="O43" s="219"/>
      <x:c r="P43" s="219"/>
      <x:c r="Q43" s="219"/>
      <x:c r="R43" s="217" t="str">
        <x:f>IF(COUNTA(N43:Q43)=0,"",SUM(N43:Q43))</x:f>
      </x:c>
      <x:c r="S43" s="218" t="str">
        <x:f>IF(R43="","",IFERROR(R43/M43,""))</x:f>
      </x:c>
      <x:c r="T43" s="220"/>
      <x:c r="U43" s="209"/>
      <x:c r="V43" s="209"/>
      <x:c r="W43" s="209"/>
    </x:row>
    <x:row r="44">
      <x:c r="A44" s="209"/>
      <x:c r="B44" s="209"/>
      <x:c r="C44" s="209"/>
      <x:c r="D44" s="209"/>
      <x:c r="E44" s="209"/>
      <x:c r="F44" s="209"/>
      <x:c r="G44" s="209"/>
      <x:c r="H44" s="209"/>
      <x:c r="I44" s="209"/>
      <x:c r="J44" s="209"/>
      <x:c r="K44" s="208"/>
      <x:c r="L44" s="209"/>
      <x:c r="M44" s="219"/>
      <x:c r="N44" s="219"/>
      <x:c r="O44" s="219"/>
      <x:c r="P44" s="219"/>
      <x:c r="Q44" s="219"/>
      <x:c r="R44" s="217" t="str">
        <x:f>IF(COUNTA(N44:Q44)=0,"",SUM(N44:Q44))</x:f>
      </x:c>
      <x:c r="S44" s="218" t="str">
        <x:f>IF(R44="","",IFERROR(R44/M44,""))</x:f>
      </x:c>
      <x:c r="T44" s="220"/>
      <x:c r="U44" s="209"/>
      <x:c r="V44" s="209"/>
      <x:c r="W44" s="209"/>
    </x:row>
    <x:row r="45">
      <x:c r="A45" s="209"/>
      <x:c r="B45" s="209"/>
      <x:c r="C45" s="209"/>
      <x:c r="D45" s="209"/>
      <x:c r="E45" s="209"/>
      <x:c r="F45" s="209"/>
      <x:c r="G45" s="209"/>
      <x:c r="H45" s="209"/>
      <x:c r="I45" s="209"/>
      <x:c r="J45" s="209"/>
      <x:c r="K45" s="208"/>
      <x:c r="L45" s="209"/>
      <x:c r="M45" s="219"/>
      <x:c r="N45" s="219"/>
      <x:c r="O45" s="219"/>
      <x:c r="P45" s="219"/>
      <x:c r="Q45" s="219"/>
      <x:c r="R45" s="217" t="str">
        <x:f>IF(COUNTA(N45:Q45)=0,"",SUM(N45:Q45))</x:f>
      </x:c>
      <x:c r="S45" s="218" t="str">
        <x:f>IF(R45="","",IFERROR(R45/M45,""))</x:f>
      </x:c>
      <x:c r="T45" s="220"/>
      <x:c r="U45" s="209"/>
      <x:c r="V45" s="209"/>
      <x:c r="W45" s="209"/>
    </x:row>
    <x:row r="46">
      <x:c r="A46" s="209"/>
      <x:c r="B46" s="209"/>
      <x:c r="C46" s="209"/>
      <x:c r="D46" s="209"/>
      <x:c r="E46" s="209"/>
      <x:c r="F46" s="209"/>
      <x:c r="G46" s="209"/>
      <x:c r="H46" s="209"/>
      <x:c r="I46" s="209"/>
      <x:c r="J46" s="209"/>
      <x:c r="K46" s="208"/>
      <x:c r="L46" s="209"/>
      <x:c r="M46" s="219"/>
      <x:c r="N46" s="219"/>
      <x:c r="O46" s="219"/>
      <x:c r="P46" s="219"/>
      <x:c r="Q46" s="219"/>
      <x:c r="R46" s="217" t="str">
        <x:f>IF(COUNTA(N46:Q46)=0,"",SUM(N46:Q46))</x:f>
      </x:c>
      <x:c r="S46" s="218" t="str">
        <x:f>IF(R46="","",IFERROR(R46/M46,""))</x:f>
      </x:c>
      <x:c r="T46" s="220"/>
      <x:c r="U46" s="209"/>
      <x:c r="V46" s="209"/>
      <x:c r="W46" s="209"/>
    </x:row>
    <x:row r="47">
      <x:c r="A47" s="209"/>
      <x:c r="B47" s="209"/>
      <x:c r="C47" s="209"/>
      <x:c r="D47" s="209"/>
      <x:c r="E47" s="209"/>
      <x:c r="F47" s="209"/>
      <x:c r="G47" s="209"/>
      <x:c r="H47" s="209"/>
      <x:c r="I47" s="209"/>
      <x:c r="J47" s="209"/>
      <x:c r="K47" s="208"/>
      <x:c r="L47" s="209"/>
      <x:c r="M47" s="219"/>
      <x:c r="N47" s="219"/>
      <x:c r="O47" s="219"/>
      <x:c r="P47" s="219"/>
      <x:c r="Q47" s="219"/>
      <x:c r="R47" s="217" t="str">
        <x:f>IF(COUNTA(N47:Q47)=0,"",SUM(N47:Q47))</x:f>
      </x:c>
      <x:c r="S47" s="218" t="str">
        <x:f>IF(R47="","",IFERROR(R47/M47,""))</x:f>
      </x:c>
      <x:c r="T47" s="220"/>
      <x:c r="U47" s="209"/>
      <x:c r="V47" s="209"/>
      <x:c r="W47" s="209"/>
    </x:row>
    <x:row r="48">
      <x:c r="A48" s="209"/>
      <x:c r="B48" s="209"/>
      <x:c r="C48" s="209"/>
      <x:c r="D48" s="209"/>
      <x:c r="E48" s="209"/>
      <x:c r="F48" s="209"/>
      <x:c r="G48" s="209"/>
      <x:c r="H48" s="209"/>
      <x:c r="I48" s="209"/>
      <x:c r="J48" s="209"/>
      <x:c r="K48" s="208"/>
      <x:c r="L48" s="209"/>
      <x:c r="M48" s="219"/>
      <x:c r="N48" s="219"/>
      <x:c r="O48" s="219"/>
      <x:c r="P48" s="219"/>
      <x:c r="Q48" s="219"/>
      <x:c r="R48" s="217" t="str">
        <x:f>IF(COUNTA(N48:Q48)=0,"",SUM(N48:Q48))</x:f>
      </x:c>
      <x:c r="S48" s="218" t="str">
        <x:f>IF(R48="","",IFERROR(R48/M48,""))</x:f>
      </x:c>
      <x:c r="T48" s="220"/>
      <x:c r="U48" s="209"/>
      <x:c r="V48" s="209"/>
      <x:c r="W48" s="209"/>
    </x:row>
    <x:row r="49">
      <x:c r="A49" s="209"/>
      <x:c r="B49" s="209"/>
      <x:c r="C49" s="209"/>
      <x:c r="D49" s="209"/>
      <x:c r="E49" s="209"/>
      <x:c r="F49" s="209"/>
      <x:c r="G49" s="209"/>
      <x:c r="H49" s="209"/>
      <x:c r="I49" s="209"/>
      <x:c r="J49" s="209"/>
      <x:c r="K49" s="208"/>
      <x:c r="L49" s="209"/>
      <x:c r="M49" s="219"/>
      <x:c r="N49" s="219"/>
      <x:c r="O49" s="219"/>
      <x:c r="P49" s="219"/>
      <x:c r="Q49" s="219"/>
      <x:c r="R49" s="217" t="str">
        <x:f>IF(COUNTA(N49:Q49)=0,"",SUM(N49:Q49))</x:f>
      </x:c>
      <x:c r="S49" s="218" t="str">
        <x:f>IF(R49="","",IFERROR(R49/M49,""))</x:f>
      </x:c>
      <x:c r="T49" s="220"/>
      <x:c r="U49" s="209"/>
      <x:c r="V49" s="209"/>
      <x:c r="W49" s="209"/>
    </x:row>
    <x:row r="50">
      <x:c r="A50" s="209"/>
      <x:c r="B50" s="209"/>
      <x:c r="C50" s="209"/>
      <x:c r="D50" s="209"/>
      <x:c r="E50" s="209"/>
      <x:c r="F50" s="209"/>
      <x:c r="G50" s="209"/>
      <x:c r="H50" s="209"/>
      <x:c r="I50" s="209"/>
      <x:c r="J50" s="209"/>
      <x:c r="K50" s="208"/>
      <x:c r="L50" s="209"/>
      <x:c r="M50" s="219"/>
      <x:c r="N50" s="219"/>
      <x:c r="O50" s="219"/>
      <x:c r="P50" s="219"/>
      <x:c r="Q50" s="219"/>
      <x:c r="R50" s="217" t="str">
        <x:f>IF(COUNTA(N50:Q50)=0,"",SUM(N50:Q50))</x:f>
      </x:c>
      <x:c r="S50" s="218" t="str">
        <x:f>IF(R50="","",IFERROR(R50/M50,""))</x:f>
      </x:c>
      <x:c r="T50" s="220"/>
      <x:c r="U50" s="209"/>
      <x:c r="V50" s="209"/>
      <x:c r="W50" s="209"/>
    </x:row>
    <x:row r="51">
      <x:c r="A51" s="209"/>
      <x:c r="B51" s="209"/>
      <x:c r="C51" s="209"/>
      <x:c r="D51" s="209"/>
      <x:c r="E51" s="209"/>
      <x:c r="F51" s="209"/>
      <x:c r="G51" s="209"/>
      <x:c r="H51" s="209"/>
      <x:c r="I51" s="209"/>
      <x:c r="J51" s="209"/>
      <x:c r="K51" s="208"/>
      <x:c r="L51" s="209"/>
      <x:c r="M51" s="219"/>
      <x:c r="N51" s="219"/>
      <x:c r="O51" s="219"/>
      <x:c r="P51" s="219"/>
      <x:c r="Q51" s="219"/>
      <x:c r="R51" s="217" t="str">
        <x:f>IF(COUNTA(N51:Q51)=0,"",SUM(N51:Q51))</x:f>
      </x:c>
      <x:c r="S51" s="218" t="str">
        <x:f>IF(R51="","",IFERROR(R51/M51,""))</x:f>
      </x:c>
      <x:c r="T51" s="220"/>
      <x:c r="U51" s="209"/>
      <x:c r="V51" s="209"/>
      <x:c r="W51" s="209"/>
    </x:row>
    <x:row r="52">
      <x:c r="A52" s="209"/>
      <x:c r="B52" s="209"/>
      <x:c r="C52" s="209"/>
      <x:c r="D52" s="209"/>
      <x:c r="E52" s="209"/>
      <x:c r="F52" s="209"/>
      <x:c r="G52" s="209"/>
      <x:c r="H52" s="209"/>
      <x:c r="I52" s="209"/>
      <x:c r="J52" s="209"/>
      <x:c r="K52" s="208"/>
      <x:c r="L52" s="209"/>
      <x:c r="M52" s="219"/>
      <x:c r="N52" s="219"/>
      <x:c r="O52" s="219"/>
      <x:c r="P52" s="219"/>
      <x:c r="Q52" s="219"/>
      <x:c r="R52" s="217" t="str">
        <x:f>IF(COUNTA(N52:Q52)=0,"",SUM(N52:Q52))</x:f>
      </x:c>
      <x:c r="S52" s="218" t="str">
        <x:f>IF(R52="","",IFERROR(R52/M52,""))</x:f>
      </x:c>
      <x:c r="T52" s="220"/>
      <x:c r="U52" s="209"/>
      <x:c r="V52" s="209"/>
      <x:c r="W52" s="209"/>
    </x:row>
    <x:row r="53">
      <x:c r="A53" s="209"/>
      <x:c r="B53" s="209"/>
      <x:c r="C53" s="209"/>
      <x:c r="D53" s="209"/>
      <x:c r="E53" s="209"/>
      <x:c r="F53" s="209"/>
      <x:c r="G53" s="209"/>
      <x:c r="H53" s="209"/>
      <x:c r="I53" s="209"/>
      <x:c r="J53" s="209"/>
      <x:c r="K53" s="208"/>
      <x:c r="L53" s="209"/>
      <x:c r="M53" s="219"/>
      <x:c r="N53" s="219"/>
      <x:c r="O53" s="219"/>
      <x:c r="P53" s="219"/>
      <x:c r="Q53" s="219"/>
      <x:c r="R53" s="217" t="str">
        <x:f>IF(COUNTA(N53:Q53)=0,"",SUM(N53:Q53))</x:f>
      </x:c>
      <x:c r="S53" s="218" t="str">
        <x:f>IF(R53="","",IFERROR(R53/M53,""))</x:f>
      </x:c>
      <x:c r="T53" s="220"/>
      <x:c r="U53" s="209"/>
      <x:c r="V53" s="209"/>
      <x:c r="W53" s="209"/>
    </x:row>
    <x:row r="54">
      <x:c r="A54" s="209"/>
      <x:c r="B54" s="209"/>
      <x:c r="C54" s="209"/>
      <x:c r="D54" s="209"/>
      <x:c r="E54" s="209"/>
      <x:c r="F54" s="209"/>
      <x:c r="G54" s="209"/>
      <x:c r="H54" s="209"/>
      <x:c r="I54" s="209"/>
      <x:c r="J54" s="209"/>
      <x:c r="K54" s="208"/>
      <x:c r="L54" s="209"/>
      <x:c r="M54" s="219"/>
      <x:c r="N54" s="219"/>
      <x:c r="O54" s="219"/>
      <x:c r="P54" s="219"/>
      <x:c r="Q54" s="219"/>
      <x:c r="R54" s="217" t="str">
        <x:f>IF(COUNTA(N54:Q54)=0,"",SUM(N54:Q54))</x:f>
      </x:c>
      <x:c r="S54" s="218" t="str">
        <x:f>IF(R54="","",IFERROR(R54/M54,""))</x:f>
      </x:c>
      <x:c r="T54" s="220"/>
      <x:c r="U54" s="209"/>
      <x:c r="V54" s="209"/>
      <x:c r="W54" s="209"/>
    </x:row>
    <x:row r="55">
      <x:c r="A55" s="209"/>
      <x:c r="B55" s="209"/>
      <x:c r="C55" s="209"/>
      <x:c r="D55" s="209"/>
      <x:c r="E55" s="209"/>
      <x:c r="F55" s="209"/>
      <x:c r="G55" s="209"/>
      <x:c r="H55" s="209"/>
      <x:c r="I55" s="209"/>
      <x:c r="J55" s="209"/>
      <x:c r="K55" s="208"/>
      <x:c r="L55" s="209"/>
      <x:c r="M55" s="219"/>
      <x:c r="N55" s="219"/>
      <x:c r="O55" s="219"/>
      <x:c r="P55" s="219"/>
      <x:c r="Q55" s="219"/>
      <x:c r="R55" s="217" t="str">
        <x:f>IF(COUNTA(N55:Q55)=0,"",SUM(N55:Q55))</x:f>
      </x:c>
      <x:c r="S55" s="218" t="str">
        <x:f>IF(R55="","",IFERROR(R55/M55,""))</x:f>
      </x:c>
      <x:c r="T55" s="220"/>
      <x:c r="U55" s="209"/>
      <x:c r="V55" s="209"/>
      <x:c r="W55" s="209"/>
    </x:row>
    <x:row r="56">
      <x:c r="A56" s="209"/>
      <x:c r="B56" s="209"/>
      <x:c r="C56" s="209"/>
      <x:c r="D56" s="209"/>
      <x:c r="E56" s="209"/>
      <x:c r="F56" s="209"/>
      <x:c r="G56" s="209"/>
      <x:c r="H56" s="209"/>
      <x:c r="I56" s="209"/>
      <x:c r="J56" s="209"/>
      <x:c r="K56" s="208"/>
      <x:c r="L56" s="209"/>
      <x:c r="M56" s="219"/>
      <x:c r="N56" s="219"/>
      <x:c r="O56" s="219"/>
      <x:c r="P56" s="219"/>
      <x:c r="Q56" s="219"/>
      <x:c r="R56" s="217" t="str">
        <x:f>IF(COUNTA(N56:Q56)=0,"",SUM(N56:Q56))</x:f>
      </x:c>
      <x:c r="S56" s="218" t="str">
        <x:f>IF(R56="","",IFERROR(R56/M56,""))</x:f>
      </x:c>
      <x:c r="T56" s="220"/>
      <x:c r="U56" s="209"/>
      <x:c r="V56" s="209"/>
      <x:c r="W56" s="209"/>
    </x:row>
    <x:row r="57">
      <x:c r="A57" s="209"/>
      <x:c r="B57" s="209"/>
      <x:c r="C57" s="209"/>
      <x:c r="D57" s="209"/>
      <x:c r="E57" s="209"/>
      <x:c r="F57" s="209"/>
      <x:c r="G57" s="209"/>
      <x:c r="H57" s="209"/>
      <x:c r="I57" s="209"/>
      <x:c r="J57" s="209"/>
      <x:c r="K57" s="208"/>
      <x:c r="L57" s="209"/>
      <x:c r="M57" s="219"/>
      <x:c r="N57" s="219"/>
      <x:c r="O57" s="219"/>
      <x:c r="P57" s="219"/>
      <x:c r="Q57" s="219"/>
      <x:c r="R57" s="217" t="str">
        <x:f>IF(COUNTA(N57:Q57)=0,"",SUM(N57:Q57))</x:f>
      </x:c>
      <x:c r="S57" s="218" t="str">
        <x:f>IF(R57="","",IFERROR(R57/M57,""))</x:f>
      </x:c>
      <x:c r="T57" s="220"/>
      <x:c r="U57" s="209"/>
      <x:c r="V57" s="209"/>
      <x:c r="W57" s="209"/>
    </x:row>
    <x:row r="58">
      <x:c r="A58" s="209"/>
      <x:c r="B58" s="209"/>
      <x:c r="C58" s="209"/>
      <x:c r="D58" s="209"/>
      <x:c r="E58" s="209"/>
      <x:c r="F58" s="209"/>
      <x:c r="G58" s="209"/>
      <x:c r="H58" s="209"/>
      <x:c r="I58" s="209"/>
      <x:c r="J58" s="209"/>
      <x:c r="K58" s="208"/>
      <x:c r="L58" s="209"/>
      <x:c r="M58" s="219"/>
      <x:c r="N58" s="219"/>
      <x:c r="O58" s="219"/>
      <x:c r="P58" s="219"/>
      <x:c r="Q58" s="219"/>
      <x:c r="R58" s="217" t="str">
        <x:f>IF(COUNTA(N58:Q58)=0,"",SUM(N58:Q58))</x:f>
      </x:c>
      <x:c r="S58" s="218" t="str">
        <x:f>IF(R58="","",IFERROR(R58/M58,""))</x:f>
      </x:c>
      <x:c r="T58" s="220"/>
      <x:c r="U58" s="209"/>
      <x:c r="V58" s="209"/>
      <x:c r="W58" s="209"/>
    </x:row>
    <x:row r="59">
      <x:c r="A59" s="209"/>
      <x:c r="B59" s="209"/>
      <x:c r="C59" s="209"/>
      <x:c r="D59" s="209"/>
      <x:c r="E59" s="209"/>
      <x:c r="F59" s="209"/>
      <x:c r="G59" s="209"/>
      <x:c r="H59" s="209"/>
      <x:c r="I59" s="209"/>
      <x:c r="J59" s="209"/>
      <x:c r="K59" s="208"/>
      <x:c r="L59" s="209"/>
      <x:c r="M59" s="219"/>
      <x:c r="N59" s="219"/>
      <x:c r="O59" s="219"/>
      <x:c r="P59" s="219"/>
      <x:c r="Q59" s="219"/>
      <x:c r="R59" s="217" t="str">
        <x:f>IF(COUNTA(N59:Q59)=0,"",SUM(N59:Q59))</x:f>
      </x:c>
      <x:c r="S59" s="218" t="str">
        <x:f>IF(R59="","",IFERROR(R59/M59,""))</x:f>
      </x:c>
      <x:c r="T59" s="220"/>
      <x:c r="U59" s="209"/>
      <x:c r="V59" s="209"/>
      <x:c r="W59" s="209"/>
    </x:row>
    <x:row r="60">
      <x:c r="A60" s="209"/>
      <x:c r="B60" s="209"/>
      <x:c r="C60" s="209"/>
      <x:c r="D60" s="209"/>
      <x:c r="E60" s="209"/>
      <x:c r="F60" s="209"/>
      <x:c r="G60" s="209"/>
      <x:c r="H60" s="209"/>
      <x:c r="I60" s="209"/>
      <x:c r="J60" s="209"/>
      <x:c r="K60" s="208"/>
      <x:c r="L60" s="209"/>
      <x:c r="M60" s="219"/>
      <x:c r="N60" s="219"/>
      <x:c r="O60" s="219"/>
      <x:c r="P60" s="219"/>
      <x:c r="Q60" s="219"/>
      <x:c r="R60" s="217" t="str">
        <x:f>IF(COUNTA(N60:Q60)=0,"",SUM(N60:Q60))</x:f>
      </x:c>
      <x:c r="S60" s="218" t="str">
        <x:f>IF(R60="","",IFERROR(R60/M60,""))</x:f>
      </x:c>
      <x:c r="T60" s="220"/>
      <x:c r="U60" s="209"/>
      <x:c r="V60" s="209"/>
      <x:c r="W60" s="209"/>
    </x:row>
    <x:row r="61">
      <x:c r="A61" s="209"/>
      <x:c r="B61" s="209"/>
      <x:c r="C61" s="209"/>
      <x:c r="D61" s="209"/>
      <x:c r="E61" s="209"/>
      <x:c r="F61" s="209"/>
      <x:c r="G61" s="209"/>
      <x:c r="H61" s="209"/>
      <x:c r="I61" s="209"/>
      <x:c r="J61" s="209"/>
      <x:c r="K61" s="208"/>
      <x:c r="L61" s="209"/>
      <x:c r="M61" s="219"/>
      <x:c r="N61" s="219"/>
      <x:c r="O61" s="219"/>
      <x:c r="P61" s="219"/>
      <x:c r="Q61" s="219"/>
      <x:c r="R61" s="217" t="str">
        <x:f>IF(COUNTA(N61:Q61)=0,"",SUM(N61:Q61))</x:f>
      </x:c>
      <x:c r="S61" s="218" t="str">
        <x:f>IF(R61="","",IFERROR(R61/M61,""))</x:f>
      </x:c>
      <x:c r="T61" s="220"/>
      <x:c r="U61" s="209"/>
      <x:c r="V61" s="209"/>
      <x:c r="W61" s="209"/>
    </x:row>
    <x:row r="62">
      <x:c r="A62" s="209"/>
      <x:c r="B62" s="209"/>
      <x:c r="C62" s="209"/>
      <x:c r="D62" s="209"/>
      <x:c r="E62" s="209"/>
      <x:c r="F62" s="209"/>
      <x:c r="G62" s="209"/>
      <x:c r="H62" s="209"/>
      <x:c r="I62" s="209"/>
      <x:c r="J62" s="209"/>
      <x:c r="K62" s="208"/>
      <x:c r="L62" s="209"/>
      <x:c r="M62" s="219"/>
      <x:c r="N62" s="219"/>
      <x:c r="O62" s="219"/>
      <x:c r="P62" s="219"/>
      <x:c r="Q62" s="219"/>
      <x:c r="R62" s="217" t="str">
        <x:f>IF(COUNTA(N62:Q62)=0,"",SUM(N62:Q62))</x:f>
      </x:c>
      <x:c r="S62" s="218" t="str">
        <x:f>IF(R62="","",IFERROR(R62/M62,""))</x:f>
      </x:c>
      <x:c r="T62" s="220"/>
      <x:c r="U62" s="209"/>
      <x:c r="V62" s="209"/>
      <x:c r="W62" s="209"/>
    </x:row>
    <x:row r="63">
      <x:c r="A63" s="209"/>
      <x:c r="B63" s="209"/>
      <x:c r="C63" s="209"/>
      <x:c r="D63" s="209"/>
      <x:c r="E63" s="209"/>
      <x:c r="F63" s="209"/>
      <x:c r="G63" s="209"/>
      <x:c r="H63" s="209"/>
      <x:c r="I63" s="209"/>
      <x:c r="J63" s="209"/>
      <x:c r="K63" s="208"/>
      <x:c r="L63" s="209"/>
      <x:c r="M63" s="219"/>
      <x:c r="N63" s="219"/>
      <x:c r="O63" s="219"/>
      <x:c r="P63" s="219"/>
      <x:c r="Q63" s="219"/>
      <x:c r="R63" s="217" t="str">
        <x:f>IF(COUNTA(N63:Q63)=0,"",SUM(N63:Q63))</x:f>
      </x:c>
      <x:c r="S63" s="218" t="str">
        <x:f>IF(R63="","",IFERROR(R63/M63,""))</x:f>
      </x:c>
      <x:c r="T63" s="220"/>
      <x:c r="U63" s="209"/>
      <x:c r="V63" s="209"/>
      <x:c r="W63" s="209"/>
    </x:row>
    <x:row r="64">
      <x:c r="A64" s="209"/>
      <x:c r="B64" s="209"/>
      <x:c r="C64" s="209"/>
      <x:c r="D64" s="209"/>
      <x:c r="E64" s="209"/>
      <x:c r="F64" s="209"/>
      <x:c r="G64" s="209"/>
      <x:c r="H64" s="209"/>
      <x:c r="I64" s="209"/>
      <x:c r="J64" s="209"/>
      <x:c r="K64" s="208"/>
      <x:c r="L64" s="209"/>
      <x:c r="M64" s="219"/>
      <x:c r="N64" s="219"/>
      <x:c r="O64" s="219"/>
      <x:c r="P64" s="219"/>
      <x:c r="Q64" s="219"/>
      <x:c r="R64" s="217" t="str">
        <x:f>IF(COUNTA(N64:Q64)=0,"",SUM(N64:Q64))</x:f>
      </x:c>
      <x:c r="S64" s="218" t="str">
        <x:f>IF(R64="","",IFERROR(R64/M64,""))</x:f>
      </x:c>
      <x:c r="T64" s="220"/>
      <x:c r="U64" s="209"/>
      <x:c r="V64" s="209"/>
      <x:c r="W64" s="209"/>
    </x:row>
  </x:sheetData>
  <x:mergeCells>
    <x:mergeCell ref="A1:W1"/>
    <x:mergeCell ref="A2:W2"/>
  </x:mergeCells>
  <x:conditionalFormatting sqref="S5:S64">
    <x:cfRule type="colorScale" priority="1">
      <x:colorScale>
        <x:cfvo type="min"/>
        <x:cfvo type="percentile" val="50"/>
        <x:cfvo type="max"/>
        <x:color rgb="FFF8D7DA"/>
        <x:color rgb="FFFFF1B8"/>
        <x:color rgb="FFDDF2E5"/>
      </x:colorScale>
    </x:cfRule>
  </x:conditionalFormatting>
  <x:dataValidations count="5">
    <x:dataValidation type="list" sqref="C5:C64">
      <x:formula1>"Anime,Hip-Hop,Concerts,Sports,Gaming,Movies,Pop Culture,Lifestyle,Community"</x:formula1>
    </x:dataValidation>
    <x:dataValidation type="list" sqref="G5:G64">
      <x:formula1>"Chris,6ron,Both,Guest"</x:formula1>
    </x:dataValidation>
    <x:dataValidation type="list" sqref="H5:H64">
      <x:formula1>"Not Started,Cutting,Review,Done"</x:formula1>
    </x:dataValidation>
    <x:dataValidation type="list" sqref="I5:I64">
      <x:formula1>"TikTok,Instagram,YouTube"</x:formula1>
    </x:dataValidation>
    <x:dataValidation type="list" sqref="J5:J64">
      <x:formula1>"Draft,Scheduled,Published,Skipped"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7" hidden="0" customWidth="1"/>
    <x:col min="8" max="8" width="17" hidden="0" customWidth="1"/>
    <x:col min="9" max="9" width="2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32" customHeight="1">
      <x:c r="A1" s="180" t="str">
        <x:v>WEEKLY REVIEW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  <x:c r="L1" s="180"/>
    </x:row>
    <x:row r="2" ht="22" customHeight="1">
      <x:c r="A2" s="181" t="str">
        <x:v>Ten minutes every Sunday. Decide what to repeat, what to stop, and what the next recording must test.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</x:row>
    <x:row r="3">
      <x:c r="A3" s="182"/>
      <x:c r="B3" s="182"/>
      <x:c r="C3" s="182"/>
      <x:c r="D3" s="182"/>
      <x:c r="E3" s="182"/>
      <x:c r="F3" s="182"/>
      <x:c r="G3" s="182"/>
      <x:c r="H3" s="182"/>
      <x:c r="I3" s="182"/>
      <x:c r="J3" s="182"/>
      <x:c r="K3" s="182"/>
      <x:c r="L3" s="182"/>
    </x:row>
    <x:row r="4" ht="30" customHeight="1">
      <x:c r="A4" s="184" t="str">
        <x:v>Week Start</x:v>
      </x:c>
      <x:c r="B4" s="185" t="str">
        <x:v>Week End</x:v>
      </x:c>
      <x:c r="C4" s="185" t="str">
        <x:v>Published Clips</x:v>
      </x:c>
      <x:c r="D4" s="185" t="str">
        <x:v>Total Views</x:v>
      </x:c>
      <x:c r="E4" s="185" t="str">
        <x:v>Engagements</x:v>
      </x:c>
      <x:c r="F4" s="185" t="str">
        <x:v>Avg Views / Clip</x:v>
      </x:c>
      <x:c r="G4" s="185" t="str">
        <x:v>Female Share</x:v>
      </x:c>
      <x:c r="H4" s="185" t="str">
        <x:v>Regular Viewer Share</x:v>
      </x:c>
      <x:c r="I4" s="185" t="str">
        <x:v>Best Clip</x:v>
      </x:c>
      <x:c r="J4" s="185" t="str">
        <x:v>Repeat</x:v>
      </x:c>
      <x:c r="K4" s="185" t="str">
        <x:v>Stop</x:v>
      </x:c>
      <x:c r="L4" s="186" t="str">
        <x:v>Test Next</x:v>
      </x:c>
    </x:row>
    <x:row r="5">
      <x:c r="A5" s="221" t="n">
        <x:v>46174</x:v>
      </x:c>
      <x:c r="B5" s="221" t="n">
        <x:f>IF(A5="","",A5+6)</x:f>
        <x:v>46180</x:v>
      </x:c>
      <x:c r="C5" s="217" t="n">
        <x:f>IF(A5="","",COUNTIFS('Clip Tracker'!$K$5:$K$64,"&gt;="&amp;A5,'Clip Tracker'!$K$5:$K$64,"&lt;="&amp;B5,'Clip Tracker'!$J$5:$J$64,"Published"))</x:f>
        <x:v>8</x:v>
      </x:c>
      <x:c r="D5" s="217" t="n">
        <x:f>IF(A5="","",SUMIFS('Clip Tracker'!$M$5:$M$64,'Clip Tracker'!$K$5:$K$64,"&gt;="&amp;A5,'Clip Tracker'!$K$5:$K$64,"&lt;="&amp;B5))</x:f>
        <x:v>10070</x:v>
      </x:c>
      <x:c r="E5" s="217" t="n">
        <x:f>IF(A5="","",SUMIFS('Clip Tracker'!$R$5:$R$64,'Clip Tracker'!$K$5:$K$64,"&gt;="&amp;A5,'Clip Tracker'!$K$5:$K$64,"&lt;="&amp;B5))</x:f>
        <x:v>180</x:v>
      </x:c>
      <x:c r="F5" s="217" t="n">
        <x:f>IF(A5="","",IFERROR(D5/C5,0))</x:f>
        <x:v>1258.75</x:v>
      </x:c>
      <x:c r="G5" s="220"/>
      <x:c r="H5" s="220"/>
      <x:c r="I5" s="209" t="str"/>
      <x:c r="J5" s="209" t="str"/>
      <x:c r="K5" s="209" t="str"/>
      <x:c r="L5" s="209" t="str"/>
    </x:row>
    <x:row r="6">
      <x:c r="A6" s="221" t="n">
        <x:v>46181</x:v>
      </x:c>
      <x:c r="B6" s="221" t="n">
        <x:f>IF(A6="","",A6+6)</x:f>
        <x:v>46187</x:v>
      </x:c>
      <x:c r="C6" s="217" t="n">
        <x:f>IF(A6="","",COUNTIFS('Clip Tracker'!$K$5:$K$64,"&gt;="&amp;A6,'Clip Tracker'!$K$5:$K$64,"&lt;="&amp;B6,'Clip Tracker'!$J$5:$J$64,"Published"))</x:f>
        <x:v>0</x:v>
      </x:c>
      <x:c r="D6" s="217" t="n">
        <x:f>IF(A6="","",SUMIFS('Clip Tracker'!$M$5:$M$64,'Clip Tracker'!$K$5:$K$64,"&gt;="&amp;A6,'Clip Tracker'!$K$5:$K$64,"&lt;="&amp;B6))</x:f>
        <x:v>0</x:v>
      </x:c>
      <x:c r="E6" s="217" t="n">
        <x:f>IF(A6="","",SUMIFS('Clip Tracker'!$R$5:$R$64,'Clip Tracker'!$K$5:$K$64,"&gt;="&amp;A6,'Clip Tracker'!$K$5:$K$64,"&lt;="&amp;B6))</x:f>
        <x:v>0</x:v>
      </x:c>
      <x:c r="F6" s="217" t="n">
        <x:f>IF(A6="","",IFERROR(D6/C6,0))</x:f>
        <x:v>0</x:v>
      </x:c>
      <x:c r="G6" s="220"/>
      <x:c r="H6" s="220"/>
      <x:c r="I6" s="209" t="str"/>
      <x:c r="J6" s="209" t="str"/>
      <x:c r="K6" s="209" t="str"/>
      <x:c r="L6" s="209" t="str"/>
    </x:row>
    <x:row r="7">
      <x:c r="A7" s="221" t="n">
        <x:v>46188</x:v>
      </x:c>
      <x:c r="B7" s="221" t="n">
        <x:f>IF(A7="","",A7+6)</x:f>
        <x:v>46194</x:v>
      </x:c>
      <x:c r="C7" s="217" t="n">
        <x:f>IF(A7="","",COUNTIFS('Clip Tracker'!$K$5:$K$64,"&gt;="&amp;A7,'Clip Tracker'!$K$5:$K$64,"&lt;="&amp;B7,'Clip Tracker'!$J$5:$J$64,"Published"))</x:f>
        <x:v>0</x:v>
      </x:c>
      <x:c r="D7" s="217" t="n">
        <x:f>IF(A7="","",SUMIFS('Clip Tracker'!$M$5:$M$64,'Clip Tracker'!$K$5:$K$64,"&gt;="&amp;A7,'Clip Tracker'!$K$5:$K$64,"&lt;="&amp;B7))</x:f>
        <x:v>0</x:v>
      </x:c>
      <x:c r="E7" s="217" t="n">
        <x:f>IF(A7="","",SUMIFS('Clip Tracker'!$R$5:$R$64,'Clip Tracker'!$K$5:$K$64,"&gt;="&amp;A7,'Clip Tracker'!$K$5:$K$64,"&lt;="&amp;B7))</x:f>
        <x:v>0</x:v>
      </x:c>
      <x:c r="F7" s="217" t="n">
        <x:f>IF(A7="","",IFERROR(D7/C7,0))</x:f>
        <x:v>0</x:v>
      </x:c>
      <x:c r="G7" s="220"/>
      <x:c r="H7" s="220"/>
      <x:c r="I7" s="209" t="str"/>
      <x:c r="J7" s="209" t="str"/>
      <x:c r="K7" s="209" t="str"/>
      <x:c r="L7" s="209" t="str"/>
    </x:row>
    <x:row r="8">
      <x:c r="A8" s="221" t="n">
        <x:v>46195</x:v>
      </x:c>
      <x:c r="B8" s="221" t="n">
        <x:f>IF(A8="","",A8+6)</x:f>
        <x:v>46201</x:v>
      </x:c>
      <x:c r="C8" s="217" t="n">
        <x:f>IF(A8="","",COUNTIFS('Clip Tracker'!$K$5:$K$64,"&gt;="&amp;A8,'Clip Tracker'!$K$5:$K$64,"&lt;="&amp;B8,'Clip Tracker'!$J$5:$J$64,"Published"))</x:f>
        <x:v>0</x:v>
      </x:c>
      <x:c r="D8" s="217" t="n">
        <x:f>IF(A8="","",SUMIFS('Clip Tracker'!$M$5:$M$64,'Clip Tracker'!$K$5:$K$64,"&gt;="&amp;A8,'Clip Tracker'!$K$5:$K$64,"&lt;="&amp;B8))</x:f>
        <x:v>0</x:v>
      </x:c>
      <x:c r="E8" s="217" t="n">
        <x:f>IF(A8="","",SUMIFS('Clip Tracker'!$R$5:$R$64,'Clip Tracker'!$K$5:$K$64,"&gt;="&amp;A8,'Clip Tracker'!$K$5:$K$64,"&lt;="&amp;B8))</x:f>
        <x:v>0</x:v>
      </x:c>
      <x:c r="F8" s="217" t="n">
        <x:f>IF(A8="","",IFERROR(D8/C8,0))</x:f>
        <x:v>0</x:v>
      </x:c>
      <x:c r="G8" s="220"/>
      <x:c r="H8" s="220"/>
      <x:c r="I8" s="209" t="str"/>
      <x:c r="J8" s="209" t="str"/>
      <x:c r="K8" s="209" t="str"/>
      <x:c r="L8" s="209" t="str"/>
    </x:row>
    <x:row r="9">
      <x:c r="A9" s="221" t="n">
        <x:v>46202</x:v>
      </x:c>
      <x:c r="B9" s="221" t="n">
        <x:f>IF(A9="","",A9+6)</x:f>
        <x:v>46208</x:v>
      </x:c>
      <x:c r="C9" s="217" t="n">
        <x:f>IF(A9="","",COUNTIFS('Clip Tracker'!$K$5:$K$64,"&gt;="&amp;A9,'Clip Tracker'!$K$5:$K$64,"&lt;="&amp;B9,'Clip Tracker'!$J$5:$J$64,"Published"))</x:f>
        <x:v>0</x:v>
      </x:c>
      <x:c r="D9" s="217" t="n">
        <x:f>IF(A9="","",SUMIFS('Clip Tracker'!$M$5:$M$64,'Clip Tracker'!$K$5:$K$64,"&gt;="&amp;A9,'Clip Tracker'!$K$5:$K$64,"&lt;="&amp;B9))</x:f>
        <x:v>0</x:v>
      </x:c>
      <x:c r="E9" s="217" t="n">
        <x:f>IF(A9="","",SUMIFS('Clip Tracker'!$R$5:$R$64,'Clip Tracker'!$K$5:$K$64,"&gt;="&amp;A9,'Clip Tracker'!$K$5:$K$64,"&lt;="&amp;B9))</x:f>
        <x:v>0</x:v>
      </x:c>
      <x:c r="F9" s="217" t="n">
        <x:f>IF(A9="","",IFERROR(D9/C9,0))</x:f>
        <x:v>0</x:v>
      </x:c>
      <x:c r="G9" s="220"/>
      <x:c r="H9" s="220"/>
      <x:c r="I9" s="209" t="str"/>
      <x:c r="J9" s="209" t="str"/>
      <x:c r="K9" s="209" t="str"/>
      <x:c r="L9" s="209" t="str"/>
    </x:row>
    <x:row r="10">
      <x:c r="A10" s="221" t="n">
        <x:v>46209</x:v>
      </x:c>
      <x:c r="B10" s="221" t="n">
        <x:f>IF(A10="","",A10+6)</x:f>
        <x:v>46215</x:v>
      </x:c>
      <x:c r="C10" s="217" t="n">
        <x:f>IF(A10="","",COUNTIFS('Clip Tracker'!$K$5:$K$64,"&gt;="&amp;A10,'Clip Tracker'!$K$5:$K$64,"&lt;="&amp;B10,'Clip Tracker'!$J$5:$J$64,"Published"))</x:f>
        <x:v>0</x:v>
      </x:c>
      <x:c r="D10" s="217" t="n">
        <x:f>IF(A10="","",SUMIFS('Clip Tracker'!$M$5:$M$64,'Clip Tracker'!$K$5:$K$64,"&gt;="&amp;A10,'Clip Tracker'!$K$5:$K$64,"&lt;="&amp;B10))</x:f>
        <x:v>0</x:v>
      </x:c>
      <x:c r="E10" s="217" t="n">
        <x:f>IF(A10="","",SUMIFS('Clip Tracker'!$R$5:$R$64,'Clip Tracker'!$K$5:$K$64,"&gt;="&amp;A10,'Clip Tracker'!$K$5:$K$64,"&lt;="&amp;B10))</x:f>
        <x:v>0</x:v>
      </x:c>
      <x:c r="F10" s="217" t="n">
        <x:f>IF(A10="","",IFERROR(D10/C10,0))</x:f>
        <x:v>0</x:v>
      </x:c>
      <x:c r="G10" s="220"/>
      <x:c r="H10" s="220"/>
      <x:c r="I10" s="209" t="str"/>
      <x:c r="J10" s="209" t="str"/>
      <x:c r="K10" s="209" t="str"/>
      <x:c r="L10" s="209" t="str"/>
    </x:row>
    <x:row r="11">
      <x:c r="A11" s="221" t="n">
        <x:v>46216</x:v>
      </x:c>
      <x:c r="B11" s="221" t="n">
        <x:f>IF(A11="","",A11+6)</x:f>
        <x:v>46222</x:v>
      </x:c>
      <x:c r="C11" s="217" t="n">
        <x:f>IF(A11="","",COUNTIFS('Clip Tracker'!$K$5:$K$64,"&gt;="&amp;A11,'Clip Tracker'!$K$5:$K$64,"&lt;="&amp;B11,'Clip Tracker'!$J$5:$J$64,"Published"))</x:f>
        <x:v>0</x:v>
      </x:c>
      <x:c r="D11" s="217" t="n">
        <x:f>IF(A11="","",SUMIFS('Clip Tracker'!$M$5:$M$64,'Clip Tracker'!$K$5:$K$64,"&gt;="&amp;A11,'Clip Tracker'!$K$5:$K$64,"&lt;="&amp;B11))</x:f>
        <x:v>0</x:v>
      </x:c>
      <x:c r="E11" s="217" t="n">
        <x:f>IF(A11="","",SUMIFS('Clip Tracker'!$R$5:$R$64,'Clip Tracker'!$K$5:$K$64,"&gt;="&amp;A11,'Clip Tracker'!$K$5:$K$64,"&lt;="&amp;B11))</x:f>
        <x:v>0</x:v>
      </x:c>
      <x:c r="F11" s="217" t="n">
        <x:f>IF(A11="","",IFERROR(D11/C11,0))</x:f>
        <x:v>0</x:v>
      </x:c>
      <x:c r="G11" s="220"/>
      <x:c r="H11" s="220"/>
      <x:c r="I11" s="209" t="str"/>
      <x:c r="J11" s="209" t="str"/>
      <x:c r="K11" s="209" t="str"/>
      <x:c r="L11" s="209" t="str"/>
    </x:row>
    <x:row r="12">
      <x:c r="A12" s="221" t="n">
        <x:v>46223</x:v>
      </x:c>
      <x:c r="B12" s="221" t="n">
        <x:f>IF(A12="","",A12+6)</x:f>
        <x:v>46229</x:v>
      </x:c>
      <x:c r="C12" s="217" t="n">
        <x:f>IF(A12="","",COUNTIFS('Clip Tracker'!$K$5:$K$64,"&gt;="&amp;A12,'Clip Tracker'!$K$5:$K$64,"&lt;="&amp;B12,'Clip Tracker'!$J$5:$J$64,"Published"))</x:f>
        <x:v>0</x:v>
      </x:c>
      <x:c r="D12" s="217" t="n">
        <x:f>IF(A12="","",SUMIFS('Clip Tracker'!$M$5:$M$64,'Clip Tracker'!$K$5:$K$64,"&gt;="&amp;A12,'Clip Tracker'!$K$5:$K$64,"&lt;="&amp;B12))</x:f>
        <x:v>0</x:v>
      </x:c>
      <x:c r="E12" s="217" t="n">
        <x:f>IF(A12="","",SUMIFS('Clip Tracker'!$R$5:$R$64,'Clip Tracker'!$K$5:$K$64,"&gt;="&amp;A12,'Clip Tracker'!$K$5:$K$64,"&lt;="&amp;B12))</x:f>
        <x:v>0</x:v>
      </x:c>
      <x:c r="F12" s="217" t="n">
        <x:f>IF(A12="","",IFERROR(D12/C12,0))</x:f>
        <x:v>0</x:v>
      </x:c>
      <x:c r="G12" s="220"/>
      <x:c r="H12" s="220"/>
      <x:c r="I12" s="209" t="str"/>
      <x:c r="J12" s="209" t="str"/>
      <x:c r="K12" s="209" t="str"/>
      <x:c r="L12" s="209" t="str"/>
    </x:row>
    <x:row r="13">
      <x:c r="A13" s="221" t="n">
        <x:v>46230</x:v>
      </x:c>
      <x:c r="B13" s="221" t="n">
        <x:f>IF(A13="","",A13+6)</x:f>
        <x:v>46236</x:v>
      </x:c>
      <x:c r="C13" s="217" t="n">
        <x:f>IF(A13="","",COUNTIFS('Clip Tracker'!$K$5:$K$64,"&gt;="&amp;A13,'Clip Tracker'!$K$5:$K$64,"&lt;="&amp;B13,'Clip Tracker'!$J$5:$J$64,"Published"))</x:f>
        <x:v>0</x:v>
      </x:c>
      <x:c r="D13" s="217" t="n">
        <x:f>IF(A13="","",SUMIFS('Clip Tracker'!$M$5:$M$64,'Clip Tracker'!$K$5:$K$64,"&gt;="&amp;A13,'Clip Tracker'!$K$5:$K$64,"&lt;="&amp;B13))</x:f>
        <x:v>0</x:v>
      </x:c>
      <x:c r="E13" s="217" t="n">
        <x:f>IF(A13="","",SUMIFS('Clip Tracker'!$R$5:$R$64,'Clip Tracker'!$K$5:$K$64,"&gt;="&amp;A13,'Clip Tracker'!$K$5:$K$64,"&lt;="&amp;B13))</x:f>
        <x:v>0</x:v>
      </x:c>
      <x:c r="F13" s="217" t="n">
        <x:f>IF(A13="","",IFERROR(D13/C13,0))</x:f>
        <x:v>0</x:v>
      </x:c>
      <x:c r="G13" s="220"/>
      <x:c r="H13" s="220"/>
      <x:c r="I13" s="209" t="str"/>
      <x:c r="J13" s="209" t="str"/>
      <x:c r="K13" s="209" t="str"/>
      <x:c r="L13" s="209" t="str"/>
    </x:row>
    <x:row r="14">
      <x:c r="A14" s="221" t="n">
        <x:v>46237</x:v>
      </x:c>
      <x:c r="B14" s="221" t="n">
        <x:f>IF(A14="","",A14+6)</x:f>
        <x:v>46243</x:v>
      </x:c>
      <x:c r="C14" s="217" t="n">
        <x:f>IF(A14="","",COUNTIFS('Clip Tracker'!$K$5:$K$64,"&gt;="&amp;A14,'Clip Tracker'!$K$5:$K$64,"&lt;="&amp;B14,'Clip Tracker'!$J$5:$J$64,"Published"))</x:f>
        <x:v>0</x:v>
      </x:c>
      <x:c r="D14" s="217" t="n">
        <x:f>IF(A14="","",SUMIFS('Clip Tracker'!$M$5:$M$64,'Clip Tracker'!$K$5:$K$64,"&gt;="&amp;A14,'Clip Tracker'!$K$5:$K$64,"&lt;="&amp;B14))</x:f>
        <x:v>0</x:v>
      </x:c>
      <x:c r="E14" s="217" t="n">
        <x:f>IF(A14="","",SUMIFS('Clip Tracker'!$R$5:$R$64,'Clip Tracker'!$K$5:$K$64,"&gt;="&amp;A14,'Clip Tracker'!$K$5:$K$64,"&lt;="&amp;B14))</x:f>
        <x:v>0</x:v>
      </x:c>
      <x:c r="F14" s="217" t="n">
        <x:f>IF(A14="","",IFERROR(D14/C14,0))</x:f>
        <x:v>0</x:v>
      </x:c>
      <x:c r="G14" s="220"/>
      <x:c r="H14" s="220"/>
      <x:c r="I14" s="209" t="str"/>
      <x:c r="J14" s="209" t="str"/>
      <x:c r="K14" s="209" t="str"/>
      <x:c r="L14" s="209" t="str"/>
    </x:row>
    <x:row r="15">
      <x:c r="A15" s="221" t="n">
        <x:v>46244</x:v>
      </x:c>
      <x:c r="B15" s="221" t="n">
        <x:f>IF(A15="","",A15+6)</x:f>
        <x:v>46250</x:v>
      </x:c>
      <x:c r="C15" s="217" t="n">
        <x:f>IF(A15="","",COUNTIFS('Clip Tracker'!$K$5:$K$64,"&gt;="&amp;A15,'Clip Tracker'!$K$5:$K$64,"&lt;="&amp;B15,'Clip Tracker'!$J$5:$J$64,"Published"))</x:f>
        <x:v>0</x:v>
      </x:c>
      <x:c r="D15" s="217" t="n">
        <x:f>IF(A15="","",SUMIFS('Clip Tracker'!$M$5:$M$64,'Clip Tracker'!$K$5:$K$64,"&gt;="&amp;A15,'Clip Tracker'!$K$5:$K$64,"&lt;="&amp;B15))</x:f>
        <x:v>0</x:v>
      </x:c>
      <x:c r="E15" s="217" t="n">
        <x:f>IF(A15="","",SUMIFS('Clip Tracker'!$R$5:$R$64,'Clip Tracker'!$K$5:$K$64,"&gt;="&amp;A15,'Clip Tracker'!$K$5:$K$64,"&lt;="&amp;B15))</x:f>
        <x:v>0</x:v>
      </x:c>
      <x:c r="F15" s="217" t="n">
        <x:f>IF(A15="","",IFERROR(D15/C15,0))</x:f>
        <x:v>0</x:v>
      </x:c>
      <x:c r="G15" s="220"/>
      <x:c r="H15" s="220"/>
      <x:c r="I15" s="209" t="str"/>
      <x:c r="J15" s="209" t="str"/>
      <x:c r="K15" s="209" t="str"/>
      <x:c r="L15" s="209" t="str"/>
    </x:row>
    <x:row r="16">
      <x:c r="A16" s="221" t="n">
        <x:v>46251</x:v>
      </x:c>
      <x:c r="B16" s="221" t="n">
        <x:f>IF(A16="","",A16+6)</x:f>
        <x:v>46257</x:v>
      </x:c>
      <x:c r="C16" s="217" t="n">
        <x:f>IF(A16="","",COUNTIFS('Clip Tracker'!$K$5:$K$64,"&gt;="&amp;A16,'Clip Tracker'!$K$5:$K$64,"&lt;="&amp;B16,'Clip Tracker'!$J$5:$J$64,"Published"))</x:f>
        <x:v>0</x:v>
      </x:c>
      <x:c r="D16" s="217" t="n">
        <x:f>IF(A16="","",SUMIFS('Clip Tracker'!$M$5:$M$64,'Clip Tracker'!$K$5:$K$64,"&gt;="&amp;A16,'Clip Tracker'!$K$5:$K$64,"&lt;="&amp;B16))</x:f>
        <x:v>0</x:v>
      </x:c>
      <x:c r="E16" s="217" t="n">
        <x:f>IF(A16="","",SUMIFS('Clip Tracker'!$R$5:$R$64,'Clip Tracker'!$K$5:$K$64,"&gt;="&amp;A16,'Clip Tracker'!$K$5:$K$64,"&lt;="&amp;B16))</x:f>
        <x:v>0</x:v>
      </x:c>
      <x:c r="F16" s="217" t="n">
        <x:f>IF(A16="","",IFERROR(D16/C16,0))</x:f>
        <x:v>0</x:v>
      </x:c>
      <x:c r="G16" s="220"/>
      <x:c r="H16" s="220"/>
      <x:c r="I16" s="209" t="str"/>
      <x:c r="J16" s="209" t="str"/>
      <x:c r="K16" s="209" t="str"/>
      <x:c r="L16" s="209" t="str"/>
    </x:row>
    <x:row r="17">
      <x:c r="A17" s="222"/>
      <x:c r="B17" s="221" t="str">
        <x:f>IF(A17="","",A17+6)</x:f>
      </x:c>
      <x:c r="C17" s="217" t="str">
        <x:f>IF(A17="","",COUNTIFS('Clip Tracker'!$K$5:$K$64,"&gt;="&amp;A17,'Clip Tracker'!$K$5:$K$64,"&lt;="&amp;B17,'Clip Tracker'!$J$5:$J$64,"Published"))</x:f>
      </x:c>
      <x:c r="D17" s="217" t="str">
        <x:f>IF(A17="","",SUMIFS('Clip Tracker'!$M$5:$M$64,'Clip Tracker'!$K$5:$K$64,"&gt;="&amp;A17,'Clip Tracker'!$K$5:$K$64,"&lt;="&amp;B17))</x:f>
      </x:c>
      <x:c r="E17" s="217" t="str">
        <x:f>IF(A17="","",SUMIFS('Clip Tracker'!$R$5:$R$64,'Clip Tracker'!$K$5:$K$64,"&gt;="&amp;A17,'Clip Tracker'!$K$5:$K$64,"&lt;="&amp;B17))</x:f>
      </x:c>
      <x:c r="F17" s="217" t="str">
        <x:f>IF(A17="","",IFERROR(D17/C17,0))</x:f>
      </x:c>
      <x:c r="G17" s="220"/>
      <x:c r="H17" s="220"/>
      <x:c r="I17" s="209"/>
      <x:c r="J17" s="209"/>
      <x:c r="K17" s="209"/>
      <x:c r="L17" s="209"/>
    </x:row>
    <x:row r="18">
      <x:c r="A18" s="222"/>
      <x:c r="B18" s="221" t="str">
        <x:f>IF(A18="","",A18+6)</x:f>
      </x:c>
      <x:c r="C18" s="217" t="str">
        <x:f>IF(A18="","",COUNTIFS('Clip Tracker'!$K$5:$K$64,"&gt;="&amp;A18,'Clip Tracker'!$K$5:$K$64,"&lt;="&amp;B18,'Clip Tracker'!$J$5:$J$64,"Published"))</x:f>
      </x:c>
      <x:c r="D18" s="217" t="str">
        <x:f>IF(A18="","",SUMIFS('Clip Tracker'!$M$5:$M$64,'Clip Tracker'!$K$5:$K$64,"&gt;="&amp;A18,'Clip Tracker'!$K$5:$K$64,"&lt;="&amp;B18))</x:f>
      </x:c>
      <x:c r="E18" s="217" t="str">
        <x:f>IF(A18="","",SUMIFS('Clip Tracker'!$R$5:$R$64,'Clip Tracker'!$K$5:$K$64,"&gt;="&amp;A18,'Clip Tracker'!$K$5:$K$64,"&lt;="&amp;B18))</x:f>
      </x:c>
      <x:c r="F18" s="217" t="str">
        <x:f>IF(A18="","",IFERROR(D18/C18,0))</x:f>
      </x:c>
      <x:c r="G18" s="220"/>
      <x:c r="H18" s="220"/>
      <x:c r="I18" s="209"/>
      <x:c r="J18" s="209"/>
      <x:c r="K18" s="209"/>
      <x:c r="L18" s="209"/>
    </x:row>
    <x:row r="19">
      <x:c r="A19" s="222"/>
      <x:c r="B19" s="221" t="str">
        <x:f>IF(A19="","",A19+6)</x:f>
      </x:c>
      <x:c r="C19" s="217" t="str">
        <x:f>IF(A19="","",COUNTIFS('Clip Tracker'!$K$5:$K$64,"&gt;="&amp;A19,'Clip Tracker'!$K$5:$K$64,"&lt;="&amp;B19,'Clip Tracker'!$J$5:$J$64,"Published"))</x:f>
      </x:c>
      <x:c r="D19" s="217" t="str">
        <x:f>IF(A19="","",SUMIFS('Clip Tracker'!$M$5:$M$64,'Clip Tracker'!$K$5:$K$64,"&gt;="&amp;A19,'Clip Tracker'!$K$5:$K$64,"&lt;="&amp;B19))</x:f>
      </x:c>
      <x:c r="E19" s="217" t="str">
        <x:f>IF(A19="","",SUMIFS('Clip Tracker'!$R$5:$R$64,'Clip Tracker'!$K$5:$K$64,"&gt;="&amp;A19,'Clip Tracker'!$K$5:$K$64,"&lt;="&amp;B19))</x:f>
      </x:c>
      <x:c r="F19" s="217" t="str">
        <x:f>IF(A19="","",IFERROR(D19/C19,0))</x:f>
      </x:c>
      <x:c r="G19" s="220"/>
      <x:c r="H19" s="220"/>
      <x:c r="I19" s="209"/>
      <x:c r="J19" s="209"/>
      <x:c r="K19" s="209"/>
      <x:c r="L19" s="209"/>
    </x:row>
    <x:row r="20">
      <x:c r="A20" s="222"/>
      <x:c r="B20" s="221" t="str">
        <x:f>IF(A20="","",A20+6)</x:f>
      </x:c>
      <x:c r="C20" s="217" t="str">
        <x:f>IF(A20="","",COUNTIFS('Clip Tracker'!$K$5:$K$64,"&gt;="&amp;A20,'Clip Tracker'!$K$5:$K$64,"&lt;="&amp;B20,'Clip Tracker'!$J$5:$J$64,"Published"))</x:f>
      </x:c>
      <x:c r="D20" s="217" t="str">
        <x:f>IF(A20="","",SUMIFS('Clip Tracker'!$M$5:$M$64,'Clip Tracker'!$K$5:$K$64,"&gt;="&amp;A20,'Clip Tracker'!$K$5:$K$64,"&lt;="&amp;B20))</x:f>
      </x:c>
      <x:c r="E20" s="217" t="str">
        <x:f>IF(A20="","",SUMIFS('Clip Tracker'!$R$5:$R$64,'Clip Tracker'!$K$5:$K$64,"&gt;="&amp;A20,'Clip Tracker'!$K$5:$K$64,"&lt;="&amp;B20))</x:f>
      </x:c>
      <x:c r="F20" s="217" t="str">
        <x:f>IF(A20="","",IFERROR(D20/C20,0))</x:f>
      </x:c>
      <x:c r="G20" s="220"/>
      <x:c r="H20" s="220"/>
      <x:c r="I20" s="209"/>
      <x:c r="J20" s="209"/>
      <x:c r="K20" s="209"/>
      <x:c r="L20" s="209"/>
    </x:row>
    <x:row r="21">
      <x:c r="A21" s="222"/>
      <x:c r="B21" s="221" t="str">
        <x:f>IF(A21="","",A21+6)</x:f>
      </x:c>
      <x:c r="C21" s="217" t="str">
        <x:f>IF(A21="","",COUNTIFS('Clip Tracker'!$K$5:$K$64,"&gt;="&amp;A21,'Clip Tracker'!$K$5:$K$64,"&lt;="&amp;B21,'Clip Tracker'!$J$5:$J$64,"Published"))</x:f>
      </x:c>
      <x:c r="D21" s="217" t="str">
        <x:f>IF(A21="","",SUMIFS('Clip Tracker'!$M$5:$M$64,'Clip Tracker'!$K$5:$K$64,"&gt;="&amp;A21,'Clip Tracker'!$K$5:$K$64,"&lt;="&amp;B21))</x:f>
      </x:c>
      <x:c r="E21" s="217" t="str">
        <x:f>IF(A21="","",SUMIFS('Clip Tracker'!$R$5:$R$64,'Clip Tracker'!$K$5:$K$64,"&gt;="&amp;A21,'Clip Tracker'!$K$5:$K$64,"&lt;="&amp;B21))</x:f>
      </x:c>
      <x:c r="F21" s="217" t="str">
        <x:f>IF(A21="","",IFERROR(D21/C21,0))</x:f>
      </x:c>
      <x:c r="G21" s="220"/>
      <x:c r="H21" s="220"/>
      <x:c r="I21" s="209"/>
      <x:c r="J21" s="209"/>
      <x:c r="K21" s="209"/>
      <x:c r="L21" s="209"/>
    </x:row>
    <x:row r="22">
      <x:c r="A22" s="222"/>
      <x:c r="B22" s="221" t="str">
        <x:f>IF(A22="","",A22+6)</x:f>
      </x:c>
      <x:c r="C22" s="217" t="str">
        <x:f>IF(A22="","",COUNTIFS('Clip Tracker'!$K$5:$K$64,"&gt;="&amp;A22,'Clip Tracker'!$K$5:$K$64,"&lt;="&amp;B22,'Clip Tracker'!$J$5:$J$64,"Published"))</x:f>
      </x:c>
      <x:c r="D22" s="217" t="str">
        <x:f>IF(A22="","",SUMIFS('Clip Tracker'!$M$5:$M$64,'Clip Tracker'!$K$5:$K$64,"&gt;="&amp;A22,'Clip Tracker'!$K$5:$K$64,"&lt;="&amp;B22))</x:f>
      </x:c>
      <x:c r="E22" s="217" t="str">
        <x:f>IF(A22="","",SUMIFS('Clip Tracker'!$R$5:$R$64,'Clip Tracker'!$K$5:$K$64,"&gt;="&amp;A22,'Clip Tracker'!$K$5:$K$64,"&lt;="&amp;B22))</x:f>
      </x:c>
      <x:c r="F22" s="217" t="str">
        <x:f>IF(A22="","",IFERROR(D22/C22,0))</x:f>
      </x:c>
      <x:c r="G22" s="220"/>
      <x:c r="H22" s="220"/>
      <x:c r="I22" s="209"/>
      <x:c r="J22" s="209"/>
      <x:c r="K22" s="209"/>
      <x:c r="L22" s="209"/>
    </x:row>
    <x:row r="23">
      <x:c r="A23" s="222"/>
      <x:c r="B23" s="221" t="str">
        <x:f>IF(A23="","",A23+6)</x:f>
      </x:c>
      <x:c r="C23" s="217" t="str">
        <x:f>IF(A23="","",COUNTIFS('Clip Tracker'!$K$5:$K$64,"&gt;="&amp;A23,'Clip Tracker'!$K$5:$K$64,"&lt;="&amp;B23,'Clip Tracker'!$J$5:$J$64,"Published"))</x:f>
      </x:c>
      <x:c r="D23" s="217" t="str">
        <x:f>IF(A23="","",SUMIFS('Clip Tracker'!$M$5:$M$64,'Clip Tracker'!$K$5:$K$64,"&gt;="&amp;A23,'Clip Tracker'!$K$5:$K$64,"&lt;="&amp;B23))</x:f>
      </x:c>
      <x:c r="E23" s="217" t="str">
        <x:f>IF(A23="","",SUMIFS('Clip Tracker'!$R$5:$R$64,'Clip Tracker'!$K$5:$K$64,"&gt;="&amp;A23,'Clip Tracker'!$K$5:$K$64,"&lt;="&amp;B23))</x:f>
      </x:c>
      <x:c r="F23" s="217" t="str">
        <x:f>IF(A23="","",IFERROR(D23/C23,0))</x:f>
      </x:c>
      <x:c r="G23" s="220"/>
      <x:c r="H23" s="220"/>
      <x:c r="I23" s="209"/>
      <x:c r="J23" s="209"/>
      <x:c r="K23" s="209"/>
      <x:c r="L23" s="209"/>
    </x:row>
    <x:row r="24">
      <x:c r="A24" s="222"/>
      <x:c r="B24" s="221" t="str">
        <x:f>IF(A24="","",A24+6)</x:f>
      </x:c>
      <x:c r="C24" s="217" t="str">
        <x:f>IF(A24="","",COUNTIFS('Clip Tracker'!$K$5:$K$64,"&gt;="&amp;A24,'Clip Tracker'!$K$5:$K$64,"&lt;="&amp;B24,'Clip Tracker'!$J$5:$J$64,"Published"))</x:f>
      </x:c>
      <x:c r="D24" s="217" t="str">
        <x:f>IF(A24="","",SUMIFS('Clip Tracker'!$M$5:$M$64,'Clip Tracker'!$K$5:$K$64,"&gt;="&amp;A24,'Clip Tracker'!$K$5:$K$64,"&lt;="&amp;B24))</x:f>
      </x:c>
      <x:c r="E24" s="217" t="str">
        <x:f>IF(A24="","",SUMIFS('Clip Tracker'!$R$5:$R$64,'Clip Tracker'!$K$5:$K$64,"&gt;="&amp;A24,'Clip Tracker'!$K$5:$K$64,"&lt;="&amp;B24))</x:f>
      </x:c>
      <x:c r="F24" s="217" t="str">
        <x:f>IF(A24="","",IFERROR(D24/C24,0))</x:f>
      </x:c>
      <x:c r="G24" s="220"/>
      <x:c r="H24" s="220"/>
      <x:c r="I24" s="209"/>
      <x:c r="J24" s="209"/>
      <x:c r="K24" s="209"/>
      <x:c r="L24" s="209"/>
    </x:row>
    <x:row r="25">
      <x:c r="A25" s="222"/>
      <x:c r="B25" s="221" t="str">
        <x:f>IF(A25="","",A25+6)</x:f>
      </x:c>
      <x:c r="C25" s="217" t="str">
        <x:f>IF(A25="","",COUNTIFS('Clip Tracker'!$K$5:$K$64,"&gt;="&amp;A25,'Clip Tracker'!$K$5:$K$64,"&lt;="&amp;B25,'Clip Tracker'!$J$5:$J$64,"Published"))</x:f>
      </x:c>
      <x:c r="D25" s="217" t="str">
        <x:f>IF(A25="","",SUMIFS('Clip Tracker'!$M$5:$M$64,'Clip Tracker'!$K$5:$K$64,"&gt;="&amp;A25,'Clip Tracker'!$K$5:$K$64,"&lt;="&amp;B25))</x:f>
      </x:c>
      <x:c r="E25" s="217" t="str">
        <x:f>IF(A25="","",SUMIFS('Clip Tracker'!$R$5:$R$64,'Clip Tracker'!$K$5:$K$64,"&gt;="&amp;A25,'Clip Tracker'!$K$5:$K$64,"&lt;="&amp;B25))</x:f>
      </x:c>
      <x:c r="F25" s="217" t="str">
        <x:f>IF(A25="","",IFERROR(D25/C25,0))</x:f>
      </x:c>
      <x:c r="G25" s="220"/>
      <x:c r="H25" s="220"/>
      <x:c r="I25" s="209"/>
      <x:c r="J25" s="209"/>
      <x:c r="K25" s="209"/>
      <x:c r="L25" s="209"/>
    </x:row>
    <x:row r="26">
      <x:c r="A26" s="222"/>
      <x:c r="B26" s="221" t="str">
        <x:f>IF(A26="","",A26+6)</x:f>
      </x:c>
      <x:c r="C26" s="217" t="str">
        <x:f>IF(A26="","",COUNTIFS('Clip Tracker'!$K$5:$K$64,"&gt;="&amp;A26,'Clip Tracker'!$K$5:$K$64,"&lt;="&amp;B26,'Clip Tracker'!$J$5:$J$64,"Published"))</x:f>
      </x:c>
      <x:c r="D26" s="217" t="str">
        <x:f>IF(A26="","",SUMIFS('Clip Tracker'!$M$5:$M$64,'Clip Tracker'!$K$5:$K$64,"&gt;="&amp;A26,'Clip Tracker'!$K$5:$K$64,"&lt;="&amp;B26))</x:f>
      </x:c>
      <x:c r="E26" s="217" t="str">
        <x:f>IF(A26="","",SUMIFS('Clip Tracker'!$R$5:$R$64,'Clip Tracker'!$K$5:$K$64,"&gt;="&amp;A26,'Clip Tracker'!$K$5:$K$64,"&lt;="&amp;B26))</x:f>
      </x:c>
      <x:c r="F26" s="217" t="str">
        <x:f>IF(A26="","",IFERROR(D26/C26,0))</x:f>
      </x:c>
      <x:c r="G26" s="220"/>
      <x:c r="H26" s="220"/>
      <x:c r="I26" s="209"/>
      <x:c r="J26" s="209"/>
      <x:c r="K26" s="209"/>
      <x:c r="L26" s="209"/>
    </x:row>
    <x:row r="27">
      <x:c r="A27" s="222"/>
      <x:c r="B27" s="221" t="str">
        <x:f>IF(A27="","",A27+6)</x:f>
      </x:c>
      <x:c r="C27" s="217" t="str">
        <x:f>IF(A27="","",COUNTIFS('Clip Tracker'!$K$5:$K$64,"&gt;="&amp;A27,'Clip Tracker'!$K$5:$K$64,"&lt;="&amp;B27,'Clip Tracker'!$J$5:$J$64,"Published"))</x:f>
      </x:c>
      <x:c r="D27" s="217" t="str">
        <x:f>IF(A27="","",SUMIFS('Clip Tracker'!$M$5:$M$64,'Clip Tracker'!$K$5:$K$64,"&gt;="&amp;A27,'Clip Tracker'!$K$5:$K$64,"&lt;="&amp;B27))</x:f>
      </x:c>
      <x:c r="E27" s="217" t="str">
        <x:f>IF(A27="","",SUMIFS('Clip Tracker'!$R$5:$R$64,'Clip Tracker'!$K$5:$K$64,"&gt;="&amp;A27,'Clip Tracker'!$K$5:$K$64,"&lt;="&amp;B27))</x:f>
      </x:c>
      <x:c r="F27" s="217" t="str">
        <x:f>IF(A27="","",IFERROR(D27/C27,0))</x:f>
      </x:c>
      <x:c r="G27" s="220"/>
      <x:c r="H27" s="220"/>
      <x:c r="I27" s="209"/>
      <x:c r="J27" s="209"/>
      <x:c r="K27" s="209"/>
      <x:c r="L27" s="209"/>
    </x:row>
    <x:row r="28">
      <x:c r="A28" s="222"/>
      <x:c r="B28" s="221" t="str">
        <x:f>IF(A28="","",A28+6)</x:f>
      </x:c>
      <x:c r="C28" s="217" t="str">
        <x:f>IF(A28="","",COUNTIFS('Clip Tracker'!$K$5:$K$64,"&gt;="&amp;A28,'Clip Tracker'!$K$5:$K$64,"&lt;="&amp;B28,'Clip Tracker'!$J$5:$J$64,"Published"))</x:f>
      </x:c>
      <x:c r="D28" s="217" t="str">
        <x:f>IF(A28="","",SUMIFS('Clip Tracker'!$M$5:$M$64,'Clip Tracker'!$K$5:$K$64,"&gt;="&amp;A28,'Clip Tracker'!$K$5:$K$64,"&lt;="&amp;B28))</x:f>
      </x:c>
      <x:c r="E28" s="217" t="str">
        <x:f>IF(A28="","",SUMIFS('Clip Tracker'!$R$5:$R$64,'Clip Tracker'!$K$5:$K$64,"&gt;="&amp;A28,'Clip Tracker'!$K$5:$K$64,"&lt;="&amp;B28))</x:f>
      </x:c>
      <x:c r="F28" s="217" t="str">
        <x:f>IF(A28="","",IFERROR(D28/C28,0))</x:f>
      </x:c>
      <x:c r="G28" s="220"/>
      <x:c r="H28" s="220"/>
      <x:c r="I28" s="209"/>
      <x:c r="J28" s="209"/>
      <x:c r="K28" s="209"/>
      <x:c r="L28" s="209"/>
    </x:row>
  </x:sheetData>
  <x:mergeCells>
    <x:mergeCell ref="A1:L1"/>
    <x:mergeCell ref="A2:L2"/>
  </x:mergeCells>
  <x:conditionalFormatting sqref="D5:D28">
    <x:cfRule type="dataBar" priority="1">
      <x:dataBar>
        <x:cfvo type="min"/>
        <x:cfvo type="max"/>
        <x:color rgb="FFE95A24"/>
      </x:dataBar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15" hidden="0" customWidth="1"/>
    <x:col min="5" max="5" width="15" hidden="0" customWidth="1"/>
    <x:col min="6" max="6" width="34" hidden="0" customWidth="1"/>
    <x:col min="7" max="7" width="30" hidden="0" customWidth="1"/>
    <x:col min="8" max="8" width="36" hidden="0" customWidth="1"/>
  </x:cols>
  <x:sheetData>
    <x:row r="1" ht="32" customHeight="1">
      <x:c r="A1" s="180" t="str">
        <x:v>FORMAT LIBRARY</x:v>
      </x:c>
      <x:c r="B1" s="180"/>
      <x:c r="C1" s="180"/>
      <x:c r="D1" s="180"/>
      <x:c r="E1" s="180"/>
      <x:c r="F1" s="180"/>
      <x:c r="G1" s="180"/>
      <x:c r="H1" s="180"/>
    </x:row>
    <x:row r="2" ht="22" customHeight="1">
      <x:c r="A2" s="181" t="str">
        <x:v>Recurring names create familiarity. Use the same format often enough that viewers know what is coming.</x:v>
      </x:c>
      <x:c r="B2" s="181"/>
      <x:c r="C2" s="181"/>
      <x:c r="D2" s="181"/>
      <x:c r="E2" s="181"/>
      <x:c r="F2" s="181"/>
      <x:c r="G2" s="181"/>
      <x:c r="H2" s="181"/>
    </x:row>
    <x:row r="3">
      <x:c r="A3" s="182"/>
      <x:c r="B3" s="182"/>
      <x:c r="C3" s="182"/>
      <x:c r="D3" s="182"/>
      <x:c r="E3" s="182"/>
      <x:c r="F3" s="182"/>
      <x:c r="G3" s="182"/>
      <x:c r="H3" s="182"/>
    </x:row>
    <x:row r="4" ht="30" customHeight="1">
      <x:c r="A4" s="184" t="str">
        <x:v>Format</x:v>
      </x:c>
      <x:c r="B4" s="185" t="str">
        <x:v>Purpose</x:v>
      </x:c>
      <x:c r="C4" s="185" t="str">
        <x:v>Hook Formula</x:v>
      </x:c>
      <x:c r="D4" s="185" t="str">
        <x:v>Ideal Clip Length</x:v>
      </x:c>
      <x:c r="E4" s="185" t="str">
        <x:v>Cadence</x:v>
      </x:c>
      <x:c r="F4" s="185" t="str">
        <x:v>Visual Treatment</x:v>
      </x:c>
      <x:c r="G4" s="185" t="str">
        <x:v>CTA</x:v>
      </x:c>
      <x:c r="H4" s="186" t="str">
        <x:v>Proof / Note</x:v>
      </x:c>
    </x:row>
    <x:row r="5">
      <x:c r="A5" s="223" t="str">
        <x:v>Pick a Side</x:v>
      </x:c>
      <x:c r="B5" s="214" t="str">
        <x:v>Maximum comments and broad reach</x:v>
      </x:c>
      <x:c r="C5" s="214" t="str">
        <x:v>You get two choices: ___ or ___?</x:v>
      </x:c>
      <x:c r="D5" s="214" t="str">
        <x:v>25-45 sec</x:v>
      </x:c>
      <x:c r="E5" s="214" t="str">
        <x:v>2x per week</x:v>
      </x:c>
      <x:c r="F5" s="214" t="str">
        <x:v>Choices onscreen before anyone speaks</x:v>
      </x:c>
      <x:c r="G5" s="214" t="str">
        <x:v>Pick one before hearing our answers</x:v>
      </x:c>
      <x:c r="H5" s="214" t="str">
        <x:v>2.3M work-shift video</x:v>
      </x:c>
    </x:row>
    <x:row r="6">
      <x:c r="A6" s="224" t="str">
        <x:v>Culture Court</x:v>
      </x:c>
      <x:c r="B6" s="215" t="str">
        <x:v>Turn opinion into a repeatable show</x:v>
      </x:c>
      <x:c r="C6" s="215" t="str">
        <x:v>The case: ___. Chris says ___. 6ron says ___.</x:v>
      </x:c>
      <x:c r="D6" s="215" t="str">
        <x:v>45-75 sec</x:v>
      </x:c>
      <x:c r="E6" s="215" t="str">
        <x:v>Weekly</x:v>
      </x:c>
      <x:c r="F6" s="215" t="str">
        <x:v>Court-style title card + opposing sides</x:v>
      </x:c>
      <x:c r="G6" s="215" t="str">
        <x:v>Who won the case?</x:v>
      </x:c>
      <x:c r="H6" s="215" t="str">
        <x:v>Fits hip-hop, sports, and pop culture</x:v>
      </x:c>
    </x:row>
    <x:row r="7">
      <x:c r="A7" s="224" t="str">
        <x:v>Anime Court</x:v>
      </x:c>
      <x:c r="B7" s="215" t="str">
        <x:v>Own a proven niche</x:v>
      </x:c>
      <x:c r="C7" s="215" t="str">
        <x:v>Is ___ actually the greatest ___?</x:v>
      </x:c>
      <x:c r="D7" s="215" t="str">
        <x:v>35-60 sec</x:v>
      </x:c>
      <x:c r="E7" s="215" t="str">
        <x:v>Weekly</x:v>
      </x:c>
      <x:c r="F7" s="215" t="str">
        <x:v>Character art + one bold claim</x:v>
      </x:c>
      <x:c r="G7" s="215" t="str">
        <x:v>Convince us in one sentence</x:v>
      </x:c>
      <x:c r="H7" s="215" t="str">
        <x:v>AOT 15K; Bleach 34.6K; Zoro/Kenpachi 16K</x:v>
      </x:c>
    </x:row>
    <x:row r="8">
      <x:c r="A8" s="224" t="str">
        <x:v>One Gotta Go</x:v>
      </x:c>
      <x:c r="B8" s="215" t="str">
        <x:v>Evergreen debate inventory</x:v>
      </x:c>
      <x:c r="C8" s="215" t="str">
        <x:v>One disappears forever: A, B, or C</x:v>
      </x:c>
      <x:c r="D8" s="215" t="str">
        <x:v>20-40 sec</x:v>
      </x:c>
      <x:c r="E8" s="215" t="str">
        <x:v>Biweekly</x:v>
      </x:c>
      <x:c r="F8" s="215" t="str">
        <x:v>Three large recognizable images</x:v>
      </x:c>
      <x:c r="G8" s="215" t="str">
        <x:v>No fourth option</x:v>
      </x:c>
      <x:c r="H8" s="215" t="str">
        <x:v>Easy to batch-record</x:v>
      </x:c>
    </x:row>
    <x:row r="9">
      <x:c r="A9" s="224" t="str">
        <x:v>Upgrade / Downgrade</x:v>
      </x:c>
      <x:c r="B9" s="215" t="str">
        <x:v>Fast reaction to replacements/news</x:v>
      </x:c>
      <x:c r="C9" s="215" t="str">
        <x:v>___ replaced ___. Upgrade or downgrade?</x:v>
      </x:c>
      <x:c r="D9" s="215" t="str">
        <x:v>20-35 sec</x:v>
      </x:c>
      <x:c r="E9" s="215" t="str">
        <x:v>As news breaks</x:v>
      </x:c>
      <x:c r="F9" s="215" t="str">
        <x:v>Before/after split image</x:v>
      </x:c>
      <x:c r="G9" s="215" t="str">
        <x:v>One word: upgrade or downgrade</x:v>
      </x:c>
      <x:c r="H9" s="215" t="str">
        <x:v>Sharper version of the Ken Carson topic</x:v>
      </x:c>
    </x:row>
    <x:row r="10">
      <x:c r="A10" s="224" t="str">
        <x:v>Worth the Ticket?</x:v>
      </x:c>
      <x:c r="B10" s="215" t="str">
        <x:v>Make concerts a signature pillar</x:v>
      </x:c>
      <x:c r="C10" s="215" t="str">
        <x:v>It cost $___—was the show worth it?</x:v>
      </x:c>
      <x:c r="D10" s="215" t="str">
        <x:v>30-60 sec</x:v>
      </x:c>
      <x:c r="E10" s="215" t="str">
        <x:v>After events</x:v>
      </x:c>
      <x:c r="F10" s="215" t="str">
        <x:v>Ticket price + crowd footage + verdict</x:v>
      </x:c>
      <x:c r="G10" s="215" t="str">
        <x:v>What concert was worth every dollar?</x:v>
      </x:c>
      <x:c r="H10" s="215" t="str">
        <x:v>Natural sponsor and event path</x:v>
      </x:c>
    </x:row>
    <x:row r="11">
      <x:c r="A11" s="224" t="str">
        <x:v>Comment of the Week</x:v>
      </x:c>
      <x:c r="B11" s="215" t="str">
        <x:v>Build returning viewers</x:v>
      </x:c>
      <x:c r="C11" s="215" t="str">
        <x:v>This comment started an argument</x:v>
      </x:c>
      <x:c r="D11" s="215" t="str">
        <x:v>20-45 sec</x:v>
      </x:c>
      <x:c r="E11" s="215" t="str">
        <x:v>Weekly</x:v>
      </x:c>
      <x:c r="F11" s="215" t="str">
        <x:v>Comment card onscreen</x:v>
      </x:c>
      <x:c r="G11" s="215" t="str">
        <x:v>Leave next week's question</x:v>
      </x:c>
      <x:c r="H11" s="215" t="str">
        <x:v>Turns comments into programming</x:v>
      </x:c>
    </x:row>
    <x:row r="12">
      <x:c r="A12" s="224" t="str">
        <x:v>Third Mic</x:v>
      </x:c>
      <x:c r="B12" s="215" t="str">
        <x:v>Bring in wider perspectives</x:v>
      </x:c>
      <x:c r="C12" s="215" t="str">
        <x:v>We needed a third mic to settle this</x:v>
      </x:c>
      <x:c r="D12" s="215" t="str">
        <x:v>45-90 sec</x:v>
      </x:c>
      <x:c r="E12" s="215" t="str">
        <x:v>Monthly</x:v>
      </x:c>
      <x:c r="F12" s="215" t="str">
        <x:v>Guest name/title card</x:v>
      </x:c>
      <x:c r="G12" s="215" t="str">
        <x:v>Whose side are you on?</x:v>
      </x:c>
      <x:c r="H12" s="215" t="str">
        <x:v>Use recurring women creators and fans</x:v>
      </x:c>
    </x:row>
    <x:row r="13">
      <x:c r="A13" s="225" t="str">
        <x:v>Rapid Take</x:v>
      </x:c>
      <x:c r="B13" s="216" t="str">
        <x:v>Win on timeliness</x:v>
      </x:c>
      <x:c r="C13" s="216" t="str">
        <x:v>This just happened—and here is the real question</x:v>
      </x:c>
      <x:c r="D13" s="216" t="str">
        <x:v>15-30 sec</x:v>
      </x:c>
      <x:c r="E13" s="216" t="str">
        <x:v>Within 24 hours</x:v>
      </x:c>
      <x:c r="F13" s="216" t="str">
        <x:v>News image + direct verdict</x:v>
      </x:c>
      <x:c r="G13" s="216" t="str">
        <x:v>Agree or overreaction?</x:v>
      </x:c>
      <x:c r="H13" s="216" t="str">
        <x:v>Historical AI-song reaction reached 169.2K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0" hidden="0" customWidth="1"/>
    <x:col min="4" max="4" width="42" hidden="0" customWidth="1"/>
    <x:col min="5" max="5" width="13" hidden="0" customWidth="1"/>
    <x:col min="6" max="6" width="33" hidden="0" customWidth="1"/>
    <x:col min="7" max="7" width="34" hidden="0" customWidth="1"/>
  </x:cols>
  <x:sheetData>
    <x:row r="1" ht="32" customHeight="1">
      <x:c r="A1" s="180" t="str">
        <x:v>SET &amp; BRAND PLAN</x:v>
      </x:c>
      <x:c r="B1" s="180"/>
      <x:c r="C1" s="180"/>
      <x:c r="D1" s="180"/>
      <x:c r="E1" s="180"/>
      <x:c r="F1" s="180"/>
      <x:c r="G1" s="180"/>
    </x:row>
    <x:row r="2" ht="22" customHeight="1">
      <x:c r="A2" s="181" t="str">
        <x:v>The goal is recognizably Equacast, not a wall of merchandise. Keep products intentional and the frame clean.</x:v>
      </x:c>
      <x:c r="B2" s="181"/>
      <x:c r="C2" s="181"/>
      <x:c r="D2" s="181"/>
      <x:c r="E2" s="181"/>
      <x:c r="F2" s="181"/>
      <x:c r="G2" s="181"/>
    </x:row>
    <x:row r="3">
      <x:c r="A3" s="182"/>
      <x:c r="B3" s="182"/>
      <x:c r="C3" s="182"/>
      <x:c r="D3" s="182"/>
      <x:c r="E3" s="182"/>
      <x:c r="F3" s="182"/>
      <x:c r="G3" s="182"/>
    </x:row>
    <x:row r="4" ht="23" customHeight="1">
      <x:c r="A4" s="183" t="str">
        <x:v>CURRENT SET REVIEW</x:v>
      </x:c>
      <x:c r="B4" s="183"/>
      <x:c r="C4" s="183"/>
      <x:c r="D4" s="183"/>
      <x:c r="E4" s="183"/>
      <x:c r="F4" s="183"/>
      <x:c r="G4" s="183"/>
    </x:row>
    <x:row r="5" ht="30" customHeight="1">
      <x:c r="A5" s="184" t="str">
        <x:v>Priority</x:v>
      </x:c>
      <x:c r="B5" s="185" t="str">
        <x:v>Area</x:v>
      </x:c>
      <x:c r="C5" s="185" t="str">
        <x:v>Current Observation</x:v>
      </x:c>
      <x:c r="D5" s="185" t="str">
        <x:v>Recommendation</x:v>
      </x:c>
      <x:c r="E5" s="185" t="str">
        <x:v>Budget</x:v>
      </x:c>
      <x:c r="F5" s="185" t="str">
        <x:v>Why</x:v>
      </x:c>
      <x:c r="G5" s="186" t="str">
        <x:v>Avoid</x:v>
      </x:c>
    </x:row>
    <x:row r="6">
      <x:c r="A6" s="223" t="str">
        <x:v>P1</x:v>
      </x:c>
      <x:c r="B6" s="214" t="str">
        <x:v>Background</x:v>
      </x:c>
      <x:c r="C6" s="214" t="str">
        <x:v>Plain light wall; little brand memory</x:v>
      </x:c>
      <x:c r="D6" s="214" t="str">
        <x:v>Center a small Equacast logo sign and add a warm orange accent light</x:v>
      </x:c>
      <x:c r="E6" s="214" t="str">
        <x:v>Low-Med</x:v>
      </x:c>
      <x:c r="F6" s="214" t="str">
        <x:v>Makes every crop identifiable without adding clutter</x:v>
      </x:c>
      <x:c r="G6" s="214" t="str">
        <x:v>Large busy banner behind both faces</x:v>
      </x:c>
    </x:row>
    <x:row r="7">
      <x:c r="A7" s="224" t="str">
        <x:v>P1</x:v>
      </x:c>
      <x:c r="B7" s="215" t="str">
        <x:v>Tabletop</x:v>
      </x:c>
      <x:c r="C7" s="215" t="str">
        <x:v>One boxed figure and a phone sit in the hero frame</x:v>
      </x:c>
      <x:c r="D7" s="215" t="str">
        <x:v>Keep the table clean; use one topic prop only when it is discussed</x:v>
      </x:c>
      <x:c r="E7" s="215" t="str">
        <x:v>Free</x:v>
      </x:c>
      <x:c r="F7" s="215" t="str">
        <x:v>Random objects look accidental; intentional props support the topic</x:v>
      </x:c>
      <x:c r="G7" s="215" t="str">
        <x:v>Several boxed products lined across the table</x:v>
      </x:c>
    </x:row>
    <x:row r="8">
      <x:c r="A8" s="224" t="str">
        <x:v>P1</x:v>
      </x:c>
      <x:c r="B8" s="215" t="str">
        <x:v>Framing</x:v>
      </x:c>
      <x:c r="C8" s="215" t="str">
        <x:v>Strong two-host eye-line and clear microphones</x:v>
      </x:c>
      <x:c r="D8" s="215" t="str">
        <x:v>Keep the two-shot, then capture one close-up angle for each host</x:v>
      </x:c>
      <x:c r="E8" s="215" t="str">
        <x:v>Low-Med</x:v>
      </x:c>
      <x:c r="F8" s="215" t="str">
        <x:v>Reaction cuts improve pace and clip variety</x:v>
      </x:c>
      <x:c r="G8" s="215" t="str">
        <x:v>Cropping microphones into faces</x:v>
      </x:c>
    </x:row>
    <x:row r="9">
      <x:c r="A9" s="224" t="str">
        <x:v>P1</x:v>
      </x:c>
      <x:c r="B9" s="215" t="str">
        <x:v>Lighting</x:v>
      </x:c>
      <x:c r="C9" s="215" t="str">
        <x:v>Hosts and wall are evenly lit but visually flat</x:v>
      </x:c>
      <x:c r="D9" s="215" t="str">
        <x:v>Separate hosts from wall; add soft key lights and one warm backlight</x:v>
      </x:c>
      <x:c r="E9" s="215" t="str">
        <x:v>Low-Med</x:v>
      </x:c>
      <x:c r="F9" s="215" t="str">
        <x:v>Creates depth and a more premium frame</x:v>
      </x:c>
      <x:c r="G9" s="215" t="str">
        <x:v>Colored light directly on skin</x:v>
      </x:c>
    </x:row>
    <x:row r="10">
      <x:c r="A10" s="224" t="str">
        <x:v>P2</x:v>
      </x:c>
      <x:c r="B10" s="215" t="str">
        <x:v>Left shelf</x:v>
      </x:c>
      <x:c r="C10" s="215" t="str">
        <x:v>No visual anime/gaming cue</x:v>
      </x:c>
      <x:c r="D10" s="215" t="str">
        <x:v>Use 2-3 rotating pieces: anime figure, manga spine, controller</x:v>
      </x:c>
      <x:c r="E10" s="215" t="str">
        <x:v>Low</x:v>
      </x:c>
      <x:c r="F10" s="215" t="str">
        <x:v>Signals a core pillar without saying it</x:v>
      </x:c>
      <x:c r="G10" s="215" t="str">
        <x:v>A shelf packed edge-to-edge</x:v>
      </x:c>
    </x:row>
    <x:row r="11">
      <x:c r="A11" s="224" t="str">
        <x:v>P2</x:v>
      </x:c>
      <x:c r="B11" s="215" t="str">
        <x:v>Right shelf</x:v>
      </x:c>
      <x:c r="C11" s="215" t="str">
        <x:v>No music/concert/sports cue</x:v>
      </x:c>
      <x:c r="D11" s="215" t="str">
        <x:v>Use vinyl, framed concert pass, and one Knicks item</x:v>
      </x:c>
      <x:c r="E11" s="215" t="str">
        <x:v>Low</x:v>
      </x:c>
      <x:c r="F11" s="215" t="str">
        <x:v>Balances the brand's culture pillars</x:v>
      </x:c>
      <x:c r="G11" s="215" t="str">
        <x:v>Unrelated logos or counterfeit-looking items</x:v>
      </x:c>
    </x:row>
    <x:row r="12">
      <x:c r="A12" s="224" t="str">
        <x:v>P2</x:v>
      </x:c>
      <x:c r="B12" s="215" t="str">
        <x:v>Wardrobe</x:v>
      </x:c>
      <x:c r="C12" s="215" t="str">
        <x:v>Casual and authentic; colors sometimes blend into wall</x:v>
      </x:c>
      <x:c r="D12" s="215" t="str">
        <x:v>Keep personal style but alternate dark/light tops against the background</x:v>
      </x:c>
      <x:c r="E12" s="215" t="str">
        <x:v>Free</x:v>
      </x:c>
      <x:c r="F12" s="215" t="str">
        <x:v>Improves separation and thumbnail readability</x:v>
      </x:c>
      <x:c r="G12" s="215" t="str">
        <x:v>Tiny repeating patterns that shimmer on camera</x:v>
      </x:c>
    </x:row>
    <x:row r="13">
      <x:c r="A13" s="225" t="str">
        <x:v>P3</x:v>
      </x:c>
      <x:c r="B13" s="216" t="str">
        <x:v>Brand mark</x:v>
      </x:c>
      <x:c r="C13" s="216" t="str">
        <x:v>Small corner watermark works</x:v>
      </x:c>
      <x:c r="D13" s="216" t="str">
        <x:v>Create one consistent vertical-safe watermark and thumbnail wordmark</x:v>
      </x:c>
      <x:c r="E13" s="216" t="str">
        <x:v>Low</x:v>
      </x:c>
      <x:c r="F13" s="216" t="str">
        <x:v>Recognition compounds across platforms</x:v>
      </x:c>
      <x:c r="G13" s="216" t="str">
        <x:v>Different logo placements on every clip</x:v>
      </x:c>
    </x:row>
    <x:row r="14">
      <x:c r="A14" s="182"/>
      <x:c r="B14" s="182"/>
      <x:c r="C14" s="182"/>
      <x:c r="D14" s="182"/>
      <x:c r="E14" s="182"/>
      <x:c r="F14" s="182"/>
      <x:c r="G14" s="182"/>
    </x:row>
    <x:row r="15" ht="23" customHeight="1">
      <x:c r="A15" s="183" t="str">
        <x:v>PRODUCT PLACEMENT RULES</x:v>
      </x:c>
      <x:c r="B15" s="183"/>
      <x:c r="C15" s="183"/>
      <x:c r="D15" s="183"/>
      <x:c r="E15" s="183"/>
      <x:c r="F15" s="183"/>
      <x:c r="G15" s="183"/>
    </x:row>
    <x:row r="16" ht="30" customHeight="1">
      <x:c r="A16" s="184" t="str">
        <x:v>Situation</x:v>
      </x:c>
      <x:c r="B16" s="185" t="str">
        <x:v>Do</x:v>
      </x:c>
      <x:c r="C16" s="186" t="str">
        <x:v>Don't</x:v>
      </x:c>
      <x:c r="D16" s="182"/>
      <x:c r="E16" s="182"/>
      <x:c r="F16" s="182"/>
      <x:c r="G16" s="182"/>
    </x:row>
    <x:row r="17">
      <x:c r="A17" s="214" t="str">
        <x:v>Normal episode</x:v>
      </x:c>
      <x:c r="B17" s="214" t="str">
        <x:v>Keep the table mostly clear; background collectibles may stay</x:v>
      </x:c>
      <x:c r="C17" s="214" t="str">
        <x:v>Place random boxes in the center foreground</x:v>
      </x:c>
      <x:c r="D17" s="182"/>
      <x:c r="E17" s="182"/>
      <x:c r="F17" s="182"/>
      <x:c r="G17" s="182"/>
    </x:row>
    <x:row r="18">
      <x:c r="A18" s="215" t="str">
        <x:v>Sponsored product</x:v>
      </x:c>
      <x:c r="B18" s="215" t="str">
        <x:v>Show it deliberately for 5-8 seconds, name the benefit, then use a cutaway</x:v>
      </x:c>
      <x:c r="C18" s="215" t="str">
        <x:v>Let it sit silently where viewers cannot tell whether it is sponsored</x:v>
      </x:c>
      <x:c r="D18" s="182"/>
      <x:c r="E18" s="182"/>
      <x:c r="F18" s="182"/>
      <x:c r="G18" s="182"/>
    </x:row>
    <x:row r="19">
      <x:c r="A19" s="215" t="str">
        <x:v>Anime topic</x:v>
      </x:c>
      <x:c r="B19" s="215" t="str">
        <x:v>Use one relevant figure, manga volume, or image as the active prop</x:v>
      </x:c>
      <x:c r="C19" s="215" t="str">
        <x:v>Display five unrelated characters at once</x:v>
      </x:c>
      <x:c r="D19" s="182"/>
      <x:c r="E19" s="182"/>
      <x:c r="F19" s="182"/>
      <x:c r="G19" s="182"/>
    </x:row>
    <x:row r="20">
      <x:c r="A20" s="215" t="str">
        <x:v>Concert review</x:v>
      </x:c>
      <x:c r="B20" s="215" t="str">
        <x:v>Show ticket/pass and 1-2 seconds of permitted crowd footage</x:v>
      </x:c>
      <x:c r="C20" s="215" t="str">
        <x:v>Let shaky footage replace the hosts' verdict</x:v>
      </x:c>
      <x:c r="D20" s="182"/>
      <x:c r="E20" s="182"/>
      <x:c r="F20" s="182"/>
      <x:c r="G20" s="182"/>
    </x:row>
    <x:row r="21">
      <x:c r="A21" s="216" t="str">
        <x:v>Brand outreach</x:v>
      </x:c>
      <x:c r="B21" s="216" t="str">
        <x:v>Photograph the clean set and one intentional integration example</x:v>
      </x:c>
      <x:c r="C21" s="216" t="str">
        <x:v>Send brands a frame with clutter or unrelated logos</x:v>
      </x:c>
      <x:c r="D21" s="182"/>
      <x:c r="E21" s="182"/>
      <x:c r="F21" s="182"/>
      <x:c r="G21" s="182"/>
    </x:row>
    <x:row r="22">
      <x:c r="A22" s="182"/>
      <x:c r="B22" s="182"/>
      <x:c r="C22" s="182"/>
      <x:c r="D22" s="182"/>
      <x:c r="E22" s="182"/>
      <x:c r="F22" s="182"/>
      <x:c r="G22" s="182"/>
    </x:row>
    <x:row r="23" ht="23" customHeight="1">
      <x:c r="A23" s="183" t="str">
        <x:v>SIMPLE SET MAP</x:v>
      </x:c>
      <x:c r="B23" s="183"/>
      <x:c r="C23" s="183"/>
      <x:c r="D23" s="183"/>
      <x:c r="E23" s="183"/>
      <x:c r="F23" s="183"/>
      <x:c r="G23" s="183"/>
    </x:row>
    <x:row r="24">
      <x:c r="A24" s="226" t="str">
        <x:v>LEFT ZONE</x:v>
      </x:c>
      <x:c r="B24" s="226" t="str"/>
      <x:c r="C24" s="226" t="str">
        <x:v>CENTER ZONE</x:v>
      </x:c>
      <x:c r="D24" s="226" t="str"/>
      <x:c r="E24" s="226" t="str">
        <x:v>RIGHT ZONE</x:v>
      </x:c>
      <x:c r="F24" s="226" t="str"/>
      <x:c r="G24" s="226" t="str">
        <x:v>TABLE</x:v>
      </x:c>
    </x:row>
    <x:row r="25">
      <x:c r="A25" s="227" t="str">
        <x:v>Anime figure</x:v>
      </x:c>
      <x:c r="B25" s="227" t="str">
        <x:v>Manga</x:v>
      </x:c>
      <x:c r="C25" s="228" t="str">
        <x:v>EQUACAST</x:v>
      </x:c>
      <x:c r="D25" s="228" t="str">
        <x:v>logo/sign</x:v>
      </x:c>
      <x:c r="E25" s="229" t="str">
        <x:v>Vinyl</x:v>
      </x:c>
      <x:c r="F25" s="229" t="str">
        <x:v>Concert pass</x:v>
      </x:c>
      <x:c r="G25" s="230" t="str">
        <x:v>Clean</x:v>
      </x:c>
    </x:row>
    <x:row r="26">
      <x:c r="A26" s="227" t="str">
        <x:v>Controller</x:v>
      </x:c>
      <x:c r="B26" s="227" t="str">
        <x:v>Warm light</x:v>
      </x:c>
      <x:c r="C26" s="228" t="str">
        <x:v>Hosts + mics</x:v>
      </x:c>
      <x:c r="D26" s="228" t="str">
        <x:v>Two-shot</x:v>
      </x:c>
      <x:c r="E26" s="229" t="str">
        <x:v>Knicks item</x:v>
      </x:c>
      <x:c r="F26" s="229" t="str">
        <x:v>Warm light</x:v>
      </x:c>
      <x:c r="G26" s="230" t="str">
        <x:v>Topic prop only</x:v>
      </x:c>
    </x:row>
    <x:row r="27">
      <x:c r="A27" s="227" t="str">
        <x:v>Rotate pieces</x:v>
      </x:c>
      <x:c r="B27" s="227" t="str"/>
      <x:c r="C27" s="228" t="str">
        <x:v>Keep logo visible</x:v>
      </x:c>
      <x:c r="D27" s="228" t="str"/>
      <x:c r="E27" s="229" t="str">
        <x:v>Rotate pieces</x:v>
      </x:c>
      <x:c r="F27" s="229" t="str"/>
      <x:c r="G27" s="230" t="str">
        <x:v>No phone in hero frame</x:v>
      </x:c>
    </x:row>
    <x:row r="28">
      <x:c r="A28" s="227" t="str">
        <x:v>2-3 items max</x:v>
      </x:c>
      <x:c r="B28" s="227" t="str"/>
      <x:c r="C28" s="228" t="str">
        <x:v>Orange accent</x:v>
      </x:c>
      <x:c r="D28" s="228" t="str"/>
      <x:c r="E28" s="229" t="str">
        <x:v>2-3 items max</x:v>
      </x:c>
      <x:c r="F28" s="229" t="str"/>
      <x:c r="G28" s="230" t="str">
        <x:v>Sponsor item only when active</x:v>
      </x:c>
    </x:row>
    <x:row r="29">
      <x:c r="A29" s="231" t="str"/>
      <x:c r="B29" s="231" t="str"/>
      <x:c r="C29" s="231" t="str"/>
      <x:c r="D29" s="231" t="str"/>
      <x:c r="E29" s="231" t="str"/>
      <x:c r="F29" s="231" t="str"/>
      <x:c r="G29" s="231" t="str"/>
    </x:row>
  </x:sheetData>
  <x:mergeCells>
    <x:mergeCell ref="A1:G1"/>
    <x:mergeCell ref="A2:G2"/>
    <x:mergeCell ref="A4:G4"/>
    <x:mergeCell ref="A15:G15"/>
    <x:mergeCell ref="A23:G23"/>
  </x:mergeCells>
  <x:pageMargins left="0.7" right="0.7" top="0.75" bottom="0.75" header="0.3" footer="0.3"/>
</x:worksheet>
</file>